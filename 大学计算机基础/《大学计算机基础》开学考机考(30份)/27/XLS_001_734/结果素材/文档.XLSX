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7065" windowHeight="4485"/>
  </bookViews>
  <sheets>
    <sheet name="销售情况统计表" sheetId="1" r:id="rId1"/>
    <sheet name="产品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1" i="2" l="1"/>
  <c r="F40" i="2"/>
  <c r="F27" i="2"/>
  <c r="F14" i="2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D4" i="1"/>
  <c r="D5" i="1"/>
  <c r="D6" i="1"/>
  <c r="D7" i="1"/>
  <c r="D8" i="1"/>
  <c r="D9" i="1"/>
  <c r="D10" i="1"/>
  <c r="D11" i="1"/>
  <c r="D12" i="1"/>
  <c r="D3" i="1"/>
  <c r="G17" i="2" l="1"/>
  <c r="G10" i="2"/>
  <c r="G20" i="2"/>
  <c r="G13" i="2"/>
  <c r="G36" i="2"/>
  <c r="G16" i="2"/>
  <c r="G39" i="2"/>
  <c r="G9" i="2"/>
  <c r="G33" i="2"/>
  <c r="G19" i="2"/>
  <c r="G38" i="2"/>
  <c r="G12" i="2"/>
  <c r="G37" i="2"/>
  <c r="G7" i="2"/>
  <c r="G4" i="2"/>
  <c r="G23" i="2"/>
  <c r="G30" i="2"/>
  <c r="G29" i="2"/>
  <c r="G6" i="2"/>
  <c r="G26" i="2"/>
  <c r="G18" i="2"/>
  <c r="G35" i="2"/>
  <c r="G22" i="2"/>
  <c r="G21" i="2"/>
  <c r="G28" i="2"/>
  <c r="G25" i="2"/>
  <c r="G32" i="2"/>
  <c r="G15" i="2"/>
  <c r="G8" i="2"/>
  <c r="G3" i="2"/>
  <c r="G5" i="2"/>
  <c r="G24" i="2"/>
  <c r="G34" i="2"/>
  <c r="G11" i="2"/>
  <c r="G31" i="2"/>
  <c r="G2" i="2"/>
</calcChain>
</file>

<file path=xl/sharedStrings.xml><?xml version="1.0" encoding="utf-8"?>
<sst xmlns="http://schemas.openxmlformats.org/spreadsheetml/2006/main" count="137" uniqueCount="49">
  <si>
    <t>产品型号</t>
    <phoneticPr fontId="2" type="noConversion"/>
  </si>
  <si>
    <r>
      <t>P</t>
    </r>
    <r>
      <rPr>
        <sz val="12"/>
        <rFont val="宋体"/>
        <charset val="134"/>
      </rPr>
      <t>-1</t>
    </r>
    <phoneticPr fontId="2" type="noConversion"/>
  </si>
  <si>
    <r>
      <t>P</t>
    </r>
    <r>
      <rPr>
        <sz val="12"/>
        <rFont val="宋体"/>
        <charset val="134"/>
      </rPr>
      <t>-2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</si>
  <si>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-3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</si>
  <si>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-4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</si>
  <si>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-5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</si>
  <si>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-6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</si>
  <si>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-7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</si>
  <si>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-8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</si>
  <si>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-9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</si>
  <si>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-10</t>
    </r>
    <r>
      <rPr>
        <sz val="12"/>
        <rFont val="宋体"/>
        <charset val="134"/>
      </rPr>
      <t/>
    </r>
  </si>
  <si>
    <t>产品销售情况统计表</t>
    <phoneticPr fontId="2" type="noConversion"/>
  </si>
  <si>
    <t>单价（元）</t>
    <phoneticPr fontId="2" type="noConversion"/>
  </si>
  <si>
    <t>销售额同比增长</t>
    <phoneticPr fontId="2" type="noConversion"/>
  </si>
  <si>
    <t>上月销售额(万元）</t>
    <phoneticPr fontId="2" type="noConversion"/>
  </si>
  <si>
    <t>上月销售量</t>
    <phoneticPr fontId="2" type="noConversion"/>
  </si>
  <si>
    <t>本月销售量</t>
    <phoneticPr fontId="2" type="noConversion"/>
  </si>
  <si>
    <t>本月销售额（万元）</t>
    <phoneticPr fontId="2" type="noConversion"/>
  </si>
  <si>
    <t>季度</t>
    <phoneticPr fontId="2" type="noConversion"/>
  </si>
  <si>
    <t>分公司</t>
    <phoneticPr fontId="2" type="noConversion"/>
  </si>
  <si>
    <t>产品类别</t>
    <phoneticPr fontId="2" type="noConversion"/>
  </si>
  <si>
    <t>产品名称</t>
    <phoneticPr fontId="2" type="noConversion"/>
  </si>
  <si>
    <t>销售数量</t>
    <phoneticPr fontId="2" type="noConversion"/>
  </si>
  <si>
    <t>销售额（万元）</t>
    <phoneticPr fontId="2" type="noConversion"/>
  </si>
  <si>
    <t>销售额排名</t>
    <phoneticPr fontId="2" type="noConversion"/>
  </si>
  <si>
    <t>西部2</t>
  </si>
  <si>
    <t>K-1</t>
    <phoneticPr fontId="2" type="noConversion"/>
  </si>
  <si>
    <t>空调</t>
    <phoneticPr fontId="2" type="noConversion"/>
  </si>
  <si>
    <t>南部3</t>
  </si>
  <si>
    <t>D-2</t>
    <phoneticPr fontId="2" type="noConversion"/>
  </si>
  <si>
    <t>电冰箱</t>
    <phoneticPr fontId="2" type="noConversion"/>
  </si>
  <si>
    <t>北部2</t>
  </si>
  <si>
    <t>K-1</t>
    <phoneticPr fontId="2" type="noConversion"/>
  </si>
  <si>
    <t>空调</t>
    <phoneticPr fontId="2" type="noConversion"/>
  </si>
  <si>
    <t>东部3</t>
  </si>
  <si>
    <t>北部1</t>
    <phoneticPr fontId="2" type="noConversion"/>
  </si>
  <si>
    <t>D-1</t>
    <phoneticPr fontId="2" type="noConversion"/>
  </si>
  <si>
    <t>电视</t>
    <phoneticPr fontId="2" type="noConversion"/>
  </si>
  <si>
    <t>南部2</t>
  </si>
  <si>
    <t>东部2</t>
  </si>
  <si>
    <t>西部1</t>
    <phoneticPr fontId="2" type="noConversion"/>
  </si>
  <si>
    <t>西部3</t>
  </si>
  <si>
    <t>东部1</t>
    <phoneticPr fontId="2" type="noConversion"/>
  </si>
  <si>
    <t>南部1</t>
    <phoneticPr fontId="2" type="noConversion"/>
  </si>
  <si>
    <t>北部3</t>
  </si>
  <si>
    <t>空调 汇总</t>
  </si>
  <si>
    <t>电视 汇总</t>
  </si>
  <si>
    <t>电冰箱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</si>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</sst>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_ "/>
    <numFmt numFmtId="178" formatCode="0.0%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0" fontId="1" fillId="0" borderId="0" xfId="0" applyFont="1"/>
    <xf numFmtId="0" fontId="1" fillId="0" borderId="0" xfId="0" applyFont="1" applyAlignment="1"/>
    <xf numFmtId="177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178" fontId="0" fillId="0" borderId="0" xfId="0" applyNumberForma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销售情况统计图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销售情况统计表!$C$2</c:f>
              <c:strCache>
                <c:ptCount val="1"/>
                <c:pt idx="0">
                  <c:v>上月销售量</c:v>
                </c:pt>
              </c:strCache>
            </c:strRef>
          </c:tx>
          <c:invertIfNegative val="0"/>
          <c:cat>
            <c:strRef>
              <c:f>销售情况统计表!$A$3:$A$12</c:f>
              <c:strCache>
                <c:ptCount val="10"/>
                <c:pt idx="0">
                  <c:v>P-1</c:v>
                </c:pt>
                <c:pt idx="1">
                  <c:v>P-2</c:v>
                </c:pt>
                <c:pt idx="2">
                  <c:v>P-3</c:v>
                </c:pt>
                <c:pt idx="3">
                  <c:v>P-4</c:v>
                </c:pt>
                <c:pt idx="4">
                  <c:v>P-5</c:v>
                </c:pt>
                <c:pt idx="5">
                  <c:v>P-6</c:v>
                </c:pt>
                <c:pt idx="6">
                  <c:v>P-7</c:v>
                </c:pt>
                <c:pt idx="7">
                  <c:v>P-8</c:v>
                </c:pt>
                <c:pt idx="8">
                  <c:v>P-9</c:v>
                </c:pt>
                <c:pt idx="9">
                  <c:v>P-10</c:v>
                </c:pt>
              </c:strCache>
            </c:strRef>
          </c:cat>
          <c:val>
            <c:numRef>
              <c:f>销售情况统计表!$C$3:$C$12</c:f>
              <c:numCache>
                <c:formatCode>General</c:formatCode>
                <c:ptCount val="10"/>
                <c:pt idx="0">
                  <c:v>123</c:v>
                </c:pt>
                <c:pt idx="1">
                  <c:v>84</c:v>
                </c:pt>
                <c:pt idx="2">
                  <c:v>213</c:v>
                </c:pt>
                <c:pt idx="3">
                  <c:v>66</c:v>
                </c:pt>
                <c:pt idx="4">
                  <c:v>101</c:v>
                </c:pt>
                <c:pt idx="5">
                  <c:v>79</c:v>
                </c:pt>
                <c:pt idx="6">
                  <c:v>89</c:v>
                </c:pt>
                <c:pt idx="7">
                  <c:v>68</c:v>
                </c:pt>
                <c:pt idx="8">
                  <c:v>91</c:v>
                </c:pt>
                <c:pt idx="9">
                  <c:v>156</c:v>
                </c:pt>
              </c:numCache>
            </c:numRef>
          </c:val>
        </c:ser>
        <c:ser>
          <c:idx val="1"/>
          <c:order val="1"/>
          <c:tx>
            <c:strRef>
              <c:f>销售情况统计表!$E$2</c:f>
              <c:strCache>
                <c:ptCount val="1"/>
                <c:pt idx="0">
                  <c:v>本月销售量</c:v>
                </c:pt>
              </c:strCache>
            </c:strRef>
          </c:tx>
          <c:invertIfNegative val="0"/>
          <c:cat>
            <c:strRef>
              <c:f>销售情况统计表!$A$3:$A$12</c:f>
              <c:strCache>
                <c:ptCount val="10"/>
                <c:pt idx="0">
                  <c:v>P-1</c:v>
                </c:pt>
                <c:pt idx="1">
                  <c:v>P-2</c:v>
                </c:pt>
                <c:pt idx="2">
                  <c:v>P-3</c:v>
                </c:pt>
                <c:pt idx="3">
                  <c:v>P-4</c:v>
                </c:pt>
                <c:pt idx="4">
                  <c:v>P-5</c:v>
                </c:pt>
                <c:pt idx="5">
                  <c:v>P-6</c:v>
                </c:pt>
                <c:pt idx="6">
                  <c:v>P-7</c:v>
                </c:pt>
                <c:pt idx="7">
                  <c:v>P-8</c:v>
                </c:pt>
                <c:pt idx="8">
                  <c:v>P-9</c:v>
                </c:pt>
                <c:pt idx="9">
                  <c:v>P-10</c:v>
                </c:pt>
              </c:strCache>
            </c:strRef>
          </c:cat>
          <c:val>
            <c:numRef>
              <c:f>销售情况统计表!$E$3:$E$12</c:f>
              <c:numCache>
                <c:formatCode>0_ </c:formatCode>
                <c:ptCount val="10"/>
                <c:pt idx="0">
                  <c:v>156</c:v>
                </c:pt>
                <c:pt idx="1">
                  <c:v>93</c:v>
                </c:pt>
                <c:pt idx="2">
                  <c:v>198</c:v>
                </c:pt>
                <c:pt idx="3">
                  <c:v>151</c:v>
                </c:pt>
                <c:pt idx="4">
                  <c:v>121</c:v>
                </c:pt>
                <c:pt idx="5">
                  <c:v>97</c:v>
                </c:pt>
                <c:pt idx="6">
                  <c:v>215</c:v>
                </c:pt>
                <c:pt idx="7">
                  <c:v>189</c:v>
                </c:pt>
                <c:pt idx="8">
                  <c:v>129</c:v>
                </c:pt>
                <c:pt idx="9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07264"/>
        <c:axId val="33920128"/>
      </c:barChart>
      <c:catAx>
        <c:axId val="80907264"/>
        <c:scaling>
          <c:orientation val="minMax"/>
        </c:scaling>
        <c:delete val="0"/>
        <c:axPos val="b"/>
        <c:majorTickMark val="out"/>
        <c:minorTickMark val="none"/>
        <c:tickLblPos val="nextTo"/>
        <c:crossAx val="33920128"/>
        <c:crosses val="autoZero"/>
        <c:auto val="1"/>
        <c:lblAlgn val="ctr"/>
        <c:lblOffset val="100"/>
        <c:noMultiLvlLbl val="0"/>
      </c:catAx>
      <c:valAx>
        <c:axId val="33920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9072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13</xdr:row>
      <xdr:rowOff>23812</xdr:rowOff>
    </xdr:from>
    <xdr:to>
      <xdr:col>5</xdr:col>
      <xdr:colOff>1333499</xdr:colOff>
      <xdr:row>27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D30" sqref="D30"/>
    </sheetView>
  </sheetViews>
  <sheetFormatPr defaultRowHeight="14.25" x14ac:dyDescent="0.15"/>
  <cols>
    <col min="1" max="1" width="9.125" customWidth="1"/>
    <col min="2" max="2" width="11" customWidth="1"/>
    <col min="3" max="3" width="10.875" customWidth="1"/>
    <col min="4" max="4" width="17.125" customWidth="1"/>
    <col min="5" max="5" width="10.875" customWidth="1"/>
    <col min="6" max="6" width="17.875" customWidth="1"/>
    <col min="7" max="7" width="15.375" customWidth="1"/>
  </cols>
  <sheetData>
    <row r="1" spans="1:8" x14ac:dyDescent="0.15">
      <c r="A1" s="7" t="s">
        <v>11</v>
      </c>
      <c r="B1" s="7"/>
      <c r="C1" s="7"/>
      <c r="D1" s="7"/>
      <c r="E1" s="7"/>
      <c r="F1" s="7"/>
      <c r="G1" s="7"/>
    </row>
    <row r="2" spans="1:8" x14ac:dyDescent="0.15">
      <c r="A2" t="s">
        <v>0</v>
      </c>
      <c r="B2" t="s">
        <v>12</v>
      </c>
      <c r="C2" t="s">
        <v>15</v>
      </c>
      <c r="D2" t="s">
        <v>14</v>
      </c>
      <c r="E2" t="s">
        <v>16</v>
      </c>
      <c r="F2" t="s">
        <v>17</v>
      </c>
      <c r="G2" t="s">
        <v>13</v>
      </c>
    </row>
    <row r="3" spans="1:8" x14ac:dyDescent="0.15">
      <c r="A3" s="2" t="s">
        <v>1</v>
      </c>
      <c r="B3">
        <v>654</v>
      </c>
      <c r="C3">
        <v>123</v>
      </c>
      <c r="D3" s="4">
        <f>B3*C3</f>
        <v>80442</v>
      </c>
      <c r="E3" s="4">
        <v>156</v>
      </c>
      <c r="F3" s="4">
        <f>B3*E3</f>
        <v>102024</v>
      </c>
      <c r="G3" s="8">
        <f>(F3-D3)/D3</f>
        <v>0.26829268292682928</v>
      </c>
    </row>
    <row r="4" spans="1:8" x14ac:dyDescent="0.15">
      <c r="A4" s="2" t="s">
        <v>2</v>
      </c>
      <c r="B4">
        <v>1652</v>
      </c>
      <c r="C4">
        <v>84</v>
      </c>
      <c r="D4" s="4">
        <f t="shared" ref="D4:D12" si="0">B4*C4</f>
        <v>138768</v>
      </c>
      <c r="E4" s="4">
        <v>93</v>
      </c>
      <c r="F4" s="4">
        <f t="shared" ref="F4:F12" si="1">B4*E4</f>
        <v>153636</v>
      </c>
      <c r="G4" s="8">
        <f t="shared" ref="G4:G12" si="2">(F4-D4)/D4</f>
        <v>0.10714285714285714</v>
      </c>
    </row>
    <row r="5" spans="1:8" x14ac:dyDescent="0.15">
      <c r="A5" s="2" t="s">
        <v>3</v>
      </c>
      <c r="B5">
        <v>4567</v>
      </c>
      <c r="C5">
        <v>213</v>
      </c>
      <c r="D5" s="4">
        <f t="shared" si="0"/>
        <v>972771</v>
      </c>
      <c r="E5" s="4">
        <v>198</v>
      </c>
      <c r="F5" s="4">
        <f t="shared" si="1"/>
        <v>904266</v>
      </c>
      <c r="G5" s="8">
        <f t="shared" si="2"/>
        <v>-7.0422535211267609E-2</v>
      </c>
    </row>
    <row r="6" spans="1:8" x14ac:dyDescent="0.15">
      <c r="A6" s="2" t="s">
        <v>4</v>
      </c>
      <c r="B6">
        <v>2341</v>
      </c>
      <c r="C6">
        <v>66</v>
      </c>
      <c r="D6" s="4">
        <f t="shared" si="0"/>
        <v>154506</v>
      </c>
      <c r="E6" s="4">
        <v>151</v>
      </c>
      <c r="F6" s="4">
        <f t="shared" si="1"/>
        <v>353491</v>
      </c>
      <c r="G6" s="8">
        <f t="shared" si="2"/>
        <v>1.2878787878787878</v>
      </c>
    </row>
    <row r="7" spans="1:8" x14ac:dyDescent="0.15">
      <c r="A7" s="2" t="s">
        <v>5</v>
      </c>
      <c r="B7">
        <v>780</v>
      </c>
      <c r="C7">
        <v>101</v>
      </c>
      <c r="D7" s="4">
        <f t="shared" si="0"/>
        <v>78780</v>
      </c>
      <c r="E7" s="4">
        <v>121</v>
      </c>
      <c r="F7" s="4">
        <f t="shared" si="1"/>
        <v>94380</v>
      </c>
      <c r="G7" s="8">
        <f t="shared" si="2"/>
        <v>0.19801980198019803</v>
      </c>
    </row>
    <row r="8" spans="1:8" x14ac:dyDescent="0.15">
      <c r="A8" s="2" t="s">
        <v>6</v>
      </c>
      <c r="B8">
        <v>394</v>
      </c>
      <c r="C8">
        <v>79</v>
      </c>
      <c r="D8" s="4">
        <f t="shared" si="0"/>
        <v>31126</v>
      </c>
      <c r="E8" s="4">
        <v>97</v>
      </c>
      <c r="F8" s="4">
        <f t="shared" si="1"/>
        <v>38218</v>
      </c>
      <c r="G8" s="8">
        <f t="shared" si="2"/>
        <v>0.22784810126582278</v>
      </c>
    </row>
    <row r="9" spans="1:8" x14ac:dyDescent="0.15">
      <c r="A9" s="2" t="s">
        <v>7</v>
      </c>
      <c r="B9">
        <v>391</v>
      </c>
      <c r="C9">
        <v>89</v>
      </c>
      <c r="D9" s="4">
        <f t="shared" si="0"/>
        <v>34799</v>
      </c>
      <c r="E9" s="4">
        <v>215</v>
      </c>
      <c r="F9" s="4">
        <f t="shared" si="1"/>
        <v>84065</v>
      </c>
      <c r="G9" s="8">
        <f t="shared" si="2"/>
        <v>1.4157303370786516</v>
      </c>
    </row>
    <row r="10" spans="1:8" x14ac:dyDescent="0.15">
      <c r="A10" s="2" t="s">
        <v>8</v>
      </c>
      <c r="B10">
        <v>189</v>
      </c>
      <c r="C10">
        <v>68</v>
      </c>
      <c r="D10" s="4">
        <f t="shared" si="0"/>
        <v>12852</v>
      </c>
      <c r="E10" s="4">
        <v>189</v>
      </c>
      <c r="F10" s="4">
        <f t="shared" si="1"/>
        <v>35721</v>
      </c>
      <c r="G10" s="8">
        <f t="shared" si="2"/>
        <v>1.7794117647058822</v>
      </c>
    </row>
    <row r="11" spans="1:8" x14ac:dyDescent="0.15">
      <c r="A11" s="2" t="s">
        <v>9</v>
      </c>
      <c r="B11">
        <v>282</v>
      </c>
      <c r="C11">
        <v>91</v>
      </c>
      <c r="D11" s="4">
        <f t="shared" si="0"/>
        <v>25662</v>
      </c>
      <c r="E11" s="4">
        <v>129</v>
      </c>
      <c r="F11" s="4">
        <f t="shared" si="1"/>
        <v>36378</v>
      </c>
      <c r="G11" s="8">
        <f t="shared" si="2"/>
        <v>0.4175824175824176</v>
      </c>
    </row>
    <row r="12" spans="1:8" x14ac:dyDescent="0.15">
      <c r="A12" s="2" t="s">
        <v>10</v>
      </c>
      <c r="B12">
        <v>196</v>
      </c>
      <c r="C12">
        <v>156</v>
      </c>
      <c r="D12" s="4">
        <f t="shared" si="0"/>
        <v>30576</v>
      </c>
      <c r="E12" s="4">
        <v>145</v>
      </c>
      <c r="F12" s="4">
        <f t="shared" si="1"/>
        <v>28420</v>
      </c>
      <c r="G12" s="8">
        <f t="shared" si="2"/>
        <v>-7.0512820512820512E-2</v>
      </c>
    </row>
    <row r="13" spans="1:8" x14ac:dyDescent="0.15">
      <c r="A13" s="3"/>
      <c r="B13" s="3"/>
      <c r="C13" s="3"/>
      <c r="D13" s="3"/>
      <c r="E13" s="1"/>
      <c r="H13" s="1"/>
    </row>
    <row r="14" spans="1:8" x14ac:dyDescent="0.15">
      <c r="E14" s="1"/>
      <c r="H14" s="1"/>
    </row>
    <row r="15" spans="1:8" x14ac:dyDescent="0.15">
      <c r="E15" s="1"/>
      <c r="H15" s="1"/>
    </row>
    <row r="16" spans="1:8" x14ac:dyDescent="0.15">
      <c r="E16" s="1"/>
      <c r="H16" s="1"/>
    </row>
    <row r="17" spans="5:8" x14ac:dyDescent="0.15">
      <c r="E17" s="1"/>
      <c r="H17" s="1"/>
    </row>
    <row r="18" spans="5:8" x14ac:dyDescent="0.15">
      <c r="H18" s="1"/>
    </row>
  </sheetData>
  <mergeCells count="1">
    <mergeCell ref="A1:G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sqref="A1:G41"/>
    </sheetView>
  </sheetViews>
  <sheetFormatPr defaultRowHeight="14.25" outlineLevelRow="2" x14ac:dyDescent="0.15"/>
  <cols>
    <col min="1" max="1" width="5.5" bestFit="1" customWidth="1"/>
    <col min="2" max="2" width="7.5" bestFit="1" customWidth="1"/>
    <col min="3" max="5" width="9.5" bestFit="1" customWidth="1"/>
    <col min="6" max="6" width="16.125" bestFit="1" customWidth="1"/>
    <col min="7" max="7" width="11.625" bestFit="1" customWidth="1"/>
  </cols>
  <sheetData>
    <row r="1" spans="1:7" x14ac:dyDescent="0.1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outlineLevel="2" x14ac:dyDescent="0.15">
      <c r="A2" s="5">
        <v>1</v>
      </c>
      <c r="B2" s="5" t="s">
        <v>25</v>
      </c>
      <c r="C2" s="5" t="s">
        <v>26</v>
      </c>
      <c r="D2" s="5" t="s">
        <v>27</v>
      </c>
      <c r="E2" s="5">
        <v>89</v>
      </c>
      <c r="F2" s="6">
        <v>12.282</v>
      </c>
      <c r="G2" s="5">
        <f>RANK(F2,$F$2:$F$39)</f>
        <v>28</v>
      </c>
    </row>
    <row r="3" spans="1:7" outlineLevel="2" x14ac:dyDescent="0.15">
      <c r="A3" s="5">
        <v>3</v>
      </c>
      <c r="B3" s="5" t="s">
        <v>25</v>
      </c>
      <c r="C3" s="5" t="s">
        <v>32</v>
      </c>
      <c r="D3" s="5" t="s">
        <v>33</v>
      </c>
      <c r="E3" s="5">
        <v>84</v>
      </c>
      <c r="F3" s="6">
        <v>11.592000000000001</v>
      </c>
      <c r="G3" s="5">
        <f>RANK(F3,$F$2:$F$39)</f>
        <v>30</v>
      </c>
    </row>
    <row r="4" spans="1:7" outlineLevel="2" x14ac:dyDescent="0.15">
      <c r="A4" s="5">
        <v>2</v>
      </c>
      <c r="B4" s="5" t="s">
        <v>25</v>
      </c>
      <c r="C4" s="5" t="s">
        <v>32</v>
      </c>
      <c r="D4" s="5" t="s">
        <v>33</v>
      </c>
      <c r="E4" s="5">
        <v>56</v>
      </c>
      <c r="F4" s="6">
        <v>7.7279999999999998</v>
      </c>
      <c r="G4" s="5">
        <f>RANK(F4,$F$2:$F$39)</f>
        <v>35</v>
      </c>
    </row>
    <row r="5" spans="1:7" outlineLevel="2" x14ac:dyDescent="0.15">
      <c r="A5" s="5">
        <v>3</v>
      </c>
      <c r="B5" s="5" t="s">
        <v>38</v>
      </c>
      <c r="C5" s="5" t="s">
        <v>32</v>
      </c>
      <c r="D5" s="5" t="s">
        <v>33</v>
      </c>
      <c r="E5" s="5">
        <v>86</v>
      </c>
      <c r="F5" s="6">
        <v>30.443999999999999</v>
      </c>
      <c r="G5" s="5">
        <f>RANK(F5,$F$2:$F$39)</f>
        <v>6</v>
      </c>
    </row>
    <row r="6" spans="1:7" outlineLevel="2" x14ac:dyDescent="0.15">
      <c r="A6" s="5">
        <v>2</v>
      </c>
      <c r="B6" s="5" t="s">
        <v>38</v>
      </c>
      <c r="C6" s="5" t="s">
        <v>32</v>
      </c>
      <c r="D6" s="5" t="s">
        <v>33</v>
      </c>
      <c r="E6" s="5">
        <v>63</v>
      </c>
      <c r="F6" s="6">
        <v>22.302</v>
      </c>
      <c r="G6" s="5">
        <f>RANK(F6,$F$2:$F$39)</f>
        <v>9</v>
      </c>
    </row>
    <row r="7" spans="1:7" outlineLevel="2" x14ac:dyDescent="0.15">
      <c r="A7" s="5">
        <v>1</v>
      </c>
      <c r="B7" s="5" t="s">
        <v>38</v>
      </c>
      <c r="C7" s="5" t="s">
        <v>32</v>
      </c>
      <c r="D7" s="5" t="s">
        <v>33</v>
      </c>
      <c r="E7" s="5">
        <v>54</v>
      </c>
      <c r="F7" s="6">
        <v>19.116</v>
      </c>
      <c r="G7" s="5">
        <f>RANK(F7,$F$2:$F$39)</f>
        <v>13</v>
      </c>
    </row>
    <row r="8" spans="1:7" outlineLevel="2" x14ac:dyDescent="0.15">
      <c r="A8" s="5">
        <v>2</v>
      </c>
      <c r="B8" s="5" t="s">
        <v>39</v>
      </c>
      <c r="C8" s="5" t="s">
        <v>32</v>
      </c>
      <c r="D8" s="5" t="s">
        <v>33</v>
      </c>
      <c r="E8" s="5">
        <v>79</v>
      </c>
      <c r="F8" s="6">
        <v>27.966000000000001</v>
      </c>
      <c r="G8" s="5">
        <f>RANK(F8,$F$2:$F$39)</f>
        <v>8</v>
      </c>
    </row>
    <row r="9" spans="1:7" outlineLevel="2" x14ac:dyDescent="0.15">
      <c r="A9" s="5">
        <v>3</v>
      </c>
      <c r="B9" s="5" t="s">
        <v>39</v>
      </c>
      <c r="C9" s="5" t="s">
        <v>32</v>
      </c>
      <c r="D9" s="5" t="s">
        <v>33</v>
      </c>
      <c r="E9" s="5">
        <v>45</v>
      </c>
      <c r="F9" s="6">
        <v>15.93</v>
      </c>
      <c r="G9" s="5">
        <f>RANK(F9,$F$2:$F$39)</f>
        <v>22</v>
      </c>
    </row>
    <row r="10" spans="1:7" outlineLevel="2" x14ac:dyDescent="0.15">
      <c r="A10" s="5">
        <v>1</v>
      </c>
      <c r="B10" s="5" t="s">
        <v>39</v>
      </c>
      <c r="C10" s="5" t="s">
        <v>32</v>
      </c>
      <c r="D10" s="5" t="s">
        <v>33</v>
      </c>
      <c r="E10" s="5">
        <v>24</v>
      </c>
      <c r="F10" s="6">
        <v>8.4960000000000004</v>
      </c>
      <c r="G10" s="5">
        <f>RANK(F10,$F$2:$F$39)</f>
        <v>34</v>
      </c>
    </row>
    <row r="11" spans="1:7" outlineLevel="2" x14ac:dyDescent="0.15">
      <c r="A11" s="5">
        <v>1</v>
      </c>
      <c r="B11" s="5" t="s">
        <v>31</v>
      </c>
      <c r="C11" s="5" t="s">
        <v>32</v>
      </c>
      <c r="D11" s="5" t="s">
        <v>33</v>
      </c>
      <c r="E11" s="5">
        <v>89</v>
      </c>
      <c r="F11" s="6">
        <v>12.282</v>
      </c>
      <c r="G11" s="5">
        <f>RANK(F11,$F$2:$F$39)</f>
        <v>28</v>
      </c>
    </row>
    <row r="12" spans="1:7" outlineLevel="2" x14ac:dyDescent="0.15">
      <c r="A12" s="5">
        <v>3</v>
      </c>
      <c r="B12" s="5" t="s">
        <v>31</v>
      </c>
      <c r="C12" s="5" t="s">
        <v>32</v>
      </c>
      <c r="D12" s="5" t="s">
        <v>33</v>
      </c>
      <c r="E12" s="5">
        <v>53</v>
      </c>
      <c r="F12" s="6">
        <v>7.3140000000000001</v>
      </c>
      <c r="G12" s="5">
        <f>RANK(F12,$F$2:$F$39)</f>
        <v>37</v>
      </c>
    </row>
    <row r="13" spans="1:7" outlineLevel="2" x14ac:dyDescent="0.15">
      <c r="A13" s="5">
        <v>2</v>
      </c>
      <c r="B13" s="5" t="s">
        <v>31</v>
      </c>
      <c r="C13" s="5" t="s">
        <v>32</v>
      </c>
      <c r="D13" s="5" t="s">
        <v>33</v>
      </c>
      <c r="E13" s="5">
        <v>37</v>
      </c>
      <c r="F13" s="6">
        <v>5.1059999999999999</v>
      </c>
      <c r="G13" s="5">
        <f>RANK(F13,$F$2:$F$39)</f>
        <v>38</v>
      </c>
    </row>
    <row r="14" spans="1:7" outlineLevel="1" x14ac:dyDescent="0.15">
      <c r="A14" s="5"/>
      <c r="B14" s="5"/>
      <c r="C14" s="5"/>
      <c r="D14" s="9" t="s">
        <v>45</v>
      </c>
      <c r="E14" s="5"/>
      <c r="F14" s="6">
        <f>SUBTOTAL(9,F2:F13)</f>
        <v>180.55800000000002</v>
      </c>
      <c r="G14" s="5"/>
    </row>
    <row r="15" spans="1:7" outlineLevel="2" x14ac:dyDescent="0.15">
      <c r="A15" s="5">
        <v>3</v>
      </c>
      <c r="B15" s="5" t="s">
        <v>40</v>
      </c>
      <c r="C15" s="5" t="s">
        <v>36</v>
      </c>
      <c r="D15" s="5" t="s">
        <v>37</v>
      </c>
      <c r="E15" s="5">
        <v>78</v>
      </c>
      <c r="F15" s="6">
        <v>34.787999999999997</v>
      </c>
      <c r="G15" s="5">
        <f>RANK(F15,$F$2:$F$39)</f>
        <v>4</v>
      </c>
    </row>
    <row r="16" spans="1:7" outlineLevel="2" x14ac:dyDescent="0.15">
      <c r="A16" s="5">
        <v>2</v>
      </c>
      <c r="B16" s="5" t="s">
        <v>40</v>
      </c>
      <c r="C16" s="5" t="s">
        <v>36</v>
      </c>
      <c r="D16" s="5" t="s">
        <v>37</v>
      </c>
      <c r="E16" s="5">
        <v>42</v>
      </c>
      <c r="F16" s="6">
        <v>18.731999999999999</v>
      </c>
      <c r="G16" s="5">
        <f>RANK(F16,$F$2:$F$39)</f>
        <v>14</v>
      </c>
    </row>
    <row r="17" spans="1:7" outlineLevel="2" x14ac:dyDescent="0.15">
      <c r="A17" s="5">
        <v>1</v>
      </c>
      <c r="B17" s="5" t="s">
        <v>40</v>
      </c>
      <c r="C17" s="5" t="s">
        <v>36</v>
      </c>
      <c r="D17" s="5" t="s">
        <v>37</v>
      </c>
      <c r="E17" s="5">
        <v>21</v>
      </c>
      <c r="F17" s="6">
        <v>9.3659999999999997</v>
      </c>
      <c r="G17" s="5">
        <f>RANK(F17,$F$2:$F$39)</f>
        <v>32</v>
      </c>
    </row>
    <row r="18" spans="1:7" outlineLevel="2" x14ac:dyDescent="0.15">
      <c r="A18" s="5">
        <v>1</v>
      </c>
      <c r="B18" s="5" t="s">
        <v>43</v>
      </c>
      <c r="C18" s="5" t="s">
        <v>36</v>
      </c>
      <c r="D18" s="5" t="s">
        <v>37</v>
      </c>
      <c r="E18" s="5">
        <v>64</v>
      </c>
      <c r="F18" s="6">
        <v>17.600000000000001</v>
      </c>
      <c r="G18" s="5">
        <f>RANK(F18,$F$2:$F$39)</f>
        <v>19</v>
      </c>
    </row>
    <row r="19" spans="1:7" outlineLevel="2" x14ac:dyDescent="0.15">
      <c r="A19" s="5">
        <v>3</v>
      </c>
      <c r="B19" s="5" t="s">
        <v>43</v>
      </c>
      <c r="C19" s="5" t="s">
        <v>36</v>
      </c>
      <c r="D19" s="5" t="s">
        <v>37</v>
      </c>
      <c r="E19" s="5">
        <v>46</v>
      </c>
      <c r="F19" s="6">
        <v>12.65</v>
      </c>
      <c r="G19" s="5">
        <f>RANK(F19,$F$2:$F$39)</f>
        <v>27</v>
      </c>
    </row>
    <row r="20" spans="1:7" outlineLevel="2" x14ac:dyDescent="0.15">
      <c r="A20" s="5">
        <v>2</v>
      </c>
      <c r="B20" s="5" t="s">
        <v>43</v>
      </c>
      <c r="C20" s="5" t="s">
        <v>36</v>
      </c>
      <c r="D20" s="5" t="s">
        <v>37</v>
      </c>
      <c r="E20" s="5">
        <v>27</v>
      </c>
      <c r="F20" s="6">
        <v>7.4249999999999998</v>
      </c>
      <c r="G20" s="5">
        <f>RANK(F20,$F$2:$F$39)</f>
        <v>36</v>
      </c>
    </row>
    <row r="21" spans="1:7" outlineLevel="2" x14ac:dyDescent="0.15">
      <c r="A21" s="5">
        <v>1</v>
      </c>
      <c r="B21" s="5" t="s">
        <v>42</v>
      </c>
      <c r="C21" s="5" t="s">
        <v>36</v>
      </c>
      <c r="D21" s="5" t="s">
        <v>37</v>
      </c>
      <c r="E21" s="5">
        <v>67</v>
      </c>
      <c r="F21" s="6">
        <v>18.425000000000001</v>
      </c>
      <c r="G21" s="5">
        <f>RANK(F21,$F$2:$F$39)</f>
        <v>16</v>
      </c>
    </row>
    <row r="22" spans="1:7" outlineLevel="2" x14ac:dyDescent="0.15">
      <c r="A22" s="5">
        <v>3</v>
      </c>
      <c r="B22" s="5" t="s">
        <v>42</v>
      </c>
      <c r="C22" s="5" t="s">
        <v>36</v>
      </c>
      <c r="D22" s="5" t="s">
        <v>37</v>
      </c>
      <c r="E22" s="5">
        <v>66</v>
      </c>
      <c r="F22" s="6">
        <v>18.149999999999999</v>
      </c>
      <c r="G22" s="5">
        <f>RANK(F22,$F$2:$F$39)</f>
        <v>18</v>
      </c>
    </row>
    <row r="23" spans="1:7" outlineLevel="2" x14ac:dyDescent="0.15">
      <c r="A23" s="5">
        <v>2</v>
      </c>
      <c r="B23" s="5" t="s">
        <v>42</v>
      </c>
      <c r="C23" s="5" t="s">
        <v>36</v>
      </c>
      <c r="D23" s="5" t="s">
        <v>37</v>
      </c>
      <c r="E23" s="5">
        <v>56</v>
      </c>
      <c r="F23" s="6">
        <v>15.4</v>
      </c>
      <c r="G23" s="5">
        <f>RANK(F23,$F$2:$F$39)</f>
        <v>24</v>
      </c>
    </row>
    <row r="24" spans="1:7" outlineLevel="2" x14ac:dyDescent="0.15">
      <c r="A24" s="5">
        <v>1</v>
      </c>
      <c r="B24" s="5" t="s">
        <v>35</v>
      </c>
      <c r="C24" s="5" t="s">
        <v>36</v>
      </c>
      <c r="D24" s="5" t="s">
        <v>37</v>
      </c>
      <c r="E24" s="5">
        <v>86</v>
      </c>
      <c r="F24" s="6">
        <v>38.356000000000002</v>
      </c>
      <c r="G24" s="5">
        <f>RANK(F24,$F$2:$F$39)</f>
        <v>3</v>
      </c>
    </row>
    <row r="25" spans="1:7" outlineLevel="2" x14ac:dyDescent="0.15">
      <c r="A25" s="5">
        <v>2</v>
      </c>
      <c r="B25" s="5" t="s">
        <v>35</v>
      </c>
      <c r="C25" s="5" t="s">
        <v>36</v>
      </c>
      <c r="D25" s="5" t="s">
        <v>37</v>
      </c>
      <c r="E25" s="5">
        <v>73</v>
      </c>
      <c r="F25" s="6">
        <v>32.558</v>
      </c>
      <c r="G25" s="5">
        <f>RANK(F25,$F$2:$F$39)</f>
        <v>5</v>
      </c>
    </row>
    <row r="26" spans="1:7" outlineLevel="2" x14ac:dyDescent="0.15">
      <c r="A26" s="5">
        <v>3</v>
      </c>
      <c r="B26" s="5" t="s">
        <v>35</v>
      </c>
      <c r="C26" s="5" t="s">
        <v>36</v>
      </c>
      <c r="D26" s="5" t="s">
        <v>37</v>
      </c>
      <c r="E26" s="5">
        <v>64</v>
      </c>
      <c r="F26" s="6">
        <v>28.544</v>
      </c>
      <c r="G26" s="5">
        <f>RANK(F26,$F$2:$F$39)</f>
        <v>7</v>
      </c>
    </row>
    <row r="27" spans="1:7" outlineLevel="1" x14ac:dyDescent="0.15">
      <c r="A27" s="5"/>
      <c r="B27" s="5"/>
      <c r="C27" s="5"/>
      <c r="D27" s="9" t="s">
        <v>46</v>
      </c>
      <c r="E27" s="5"/>
      <c r="F27" s="6">
        <f>SUBTOTAL(9,F15:F26)</f>
        <v>251.994</v>
      </c>
      <c r="G27" s="5"/>
    </row>
    <row r="28" spans="1:7" outlineLevel="2" x14ac:dyDescent="0.15">
      <c r="A28" s="5">
        <v>2</v>
      </c>
      <c r="B28" s="5" t="s">
        <v>41</v>
      </c>
      <c r="C28" s="5" t="s">
        <v>29</v>
      </c>
      <c r="D28" s="5" t="s">
        <v>30</v>
      </c>
      <c r="E28" s="5">
        <v>69</v>
      </c>
      <c r="F28" s="6">
        <v>22.149000000000001</v>
      </c>
      <c r="G28" s="5">
        <f>RANK(F28,$F$2:$F$39)</f>
        <v>10</v>
      </c>
    </row>
    <row r="29" spans="1:7" outlineLevel="2" x14ac:dyDescent="0.15">
      <c r="A29" s="5">
        <v>1</v>
      </c>
      <c r="B29" s="5" t="s">
        <v>41</v>
      </c>
      <c r="C29" s="5" t="s">
        <v>29</v>
      </c>
      <c r="D29" s="5" t="s">
        <v>30</v>
      </c>
      <c r="E29" s="5">
        <v>58</v>
      </c>
      <c r="F29" s="6">
        <v>18.617999999999999</v>
      </c>
      <c r="G29" s="5">
        <f>RANK(F29,$F$2:$F$39)</f>
        <v>15</v>
      </c>
    </row>
    <row r="30" spans="1:7" outlineLevel="2" x14ac:dyDescent="0.15">
      <c r="A30" s="5">
        <v>3</v>
      </c>
      <c r="B30" s="5" t="s">
        <v>41</v>
      </c>
      <c r="C30" s="5" t="s">
        <v>29</v>
      </c>
      <c r="D30" s="5" t="s">
        <v>30</v>
      </c>
      <c r="E30" s="5">
        <v>57</v>
      </c>
      <c r="F30" s="6">
        <v>18.297000000000001</v>
      </c>
      <c r="G30" s="5">
        <f>RANK(F30,$F$2:$F$39)</f>
        <v>17</v>
      </c>
    </row>
    <row r="31" spans="1:7" outlineLevel="2" x14ac:dyDescent="0.15">
      <c r="A31" s="5">
        <v>1</v>
      </c>
      <c r="B31" s="5" t="s">
        <v>28</v>
      </c>
      <c r="C31" s="5" t="s">
        <v>29</v>
      </c>
      <c r="D31" s="5" t="s">
        <v>30</v>
      </c>
      <c r="E31" s="5">
        <v>89</v>
      </c>
      <c r="F31" s="6">
        <v>20.826000000000001</v>
      </c>
      <c r="G31" s="5">
        <f>RANK(F31,$F$2:$F$39)</f>
        <v>11</v>
      </c>
    </row>
    <row r="32" spans="1:7" outlineLevel="2" x14ac:dyDescent="0.15">
      <c r="A32" s="5">
        <v>3</v>
      </c>
      <c r="B32" s="5" t="s">
        <v>28</v>
      </c>
      <c r="C32" s="5" t="s">
        <v>29</v>
      </c>
      <c r="D32" s="5" t="s">
        <v>30</v>
      </c>
      <c r="E32" s="5">
        <v>75</v>
      </c>
      <c r="F32" s="6">
        <v>17.55</v>
      </c>
      <c r="G32" s="5">
        <f>RANK(F32,$F$2:$F$39)</f>
        <v>20</v>
      </c>
    </row>
    <row r="33" spans="1:7" outlineLevel="2" x14ac:dyDescent="0.15">
      <c r="A33" s="5">
        <v>2</v>
      </c>
      <c r="B33" s="5" t="s">
        <v>28</v>
      </c>
      <c r="C33" s="5" t="s">
        <v>29</v>
      </c>
      <c r="D33" s="5" t="s">
        <v>30</v>
      </c>
      <c r="E33" s="5">
        <v>45</v>
      </c>
      <c r="F33" s="6">
        <v>10.53</v>
      </c>
      <c r="G33" s="5">
        <f>RANK(F33,$F$2:$F$39)</f>
        <v>31</v>
      </c>
    </row>
    <row r="34" spans="1:7" outlineLevel="2" x14ac:dyDescent="0.15">
      <c r="A34" s="5">
        <v>1</v>
      </c>
      <c r="B34" s="5" t="s">
        <v>34</v>
      </c>
      <c r="C34" s="5" t="s">
        <v>29</v>
      </c>
      <c r="D34" s="5" t="s">
        <v>30</v>
      </c>
      <c r="E34" s="5">
        <v>86</v>
      </c>
      <c r="F34" s="6">
        <v>20.123999999999999</v>
      </c>
      <c r="G34" s="5">
        <f>RANK(F34,$F$2:$F$39)</f>
        <v>12</v>
      </c>
    </row>
    <row r="35" spans="1:7" outlineLevel="2" x14ac:dyDescent="0.15">
      <c r="A35" s="5">
        <v>2</v>
      </c>
      <c r="B35" s="5" t="s">
        <v>34</v>
      </c>
      <c r="C35" s="5" t="s">
        <v>29</v>
      </c>
      <c r="D35" s="5" t="s">
        <v>30</v>
      </c>
      <c r="E35" s="5">
        <v>65</v>
      </c>
      <c r="F35" s="6">
        <v>15.21</v>
      </c>
      <c r="G35" s="5">
        <f>RANK(F35,$F$2:$F$39)</f>
        <v>25</v>
      </c>
    </row>
    <row r="36" spans="1:7" outlineLevel="2" x14ac:dyDescent="0.15">
      <c r="A36" s="5">
        <v>3</v>
      </c>
      <c r="B36" s="5" t="s">
        <v>34</v>
      </c>
      <c r="C36" s="5" t="s">
        <v>29</v>
      </c>
      <c r="D36" s="5" t="s">
        <v>30</v>
      </c>
      <c r="E36" s="5">
        <v>39</v>
      </c>
      <c r="F36" s="6">
        <v>9.1259999999999994</v>
      </c>
      <c r="G36" s="5">
        <f>RANK(F36,$F$2:$F$39)</f>
        <v>33</v>
      </c>
    </row>
    <row r="37" spans="1:7" outlineLevel="2" x14ac:dyDescent="0.15">
      <c r="A37" s="5">
        <v>3</v>
      </c>
      <c r="B37" s="5" t="s">
        <v>44</v>
      </c>
      <c r="C37" s="5" t="s">
        <v>29</v>
      </c>
      <c r="D37" s="5" t="s">
        <v>30</v>
      </c>
      <c r="E37" s="5">
        <v>54</v>
      </c>
      <c r="F37" s="6">
        <v>17.334</v>
      </c>
      <c r="G37" s="5">
        <f>RANK(F37,$F$2:$F$39)</f>
        <v>21</v>
      </c>
    </row>
    <row r="38" spans="1:7" outlineLevel="2" x14ac:dyDescent="0.15">
      <c r="A38" s="5">
        <v>2</v>
      </c>
      <c r="B38" s="5" t="s">
        <v>44</v>
      </c>
      <c r="C38" s="5" t="s">
        <v>29</v>
      </c>
      <c r="D38" s="5" t="s">
        <v>30</v>
      </c>
      <c r="E38" s="5">
        <v>48</v>
      </c>
      <c r="F38" s="6">
        <v>15.407999999999999</v>
      </c>
      <c r="G38" s="5">
        <f>RANK(F38,$F$2:$F$39)</f>
        <v>23</v>
      </c>
    </row>
    <row r="39" spans="1:7" outlineLevel="2" x14ac:dyDescent="0.15">
      <c r="A39" s="5">
        <v>1</v>
      </c>
      <c r="B39" s="5" t="s">
        <v>44</v>
      </c>
      <c r="C39" s="5" t="s">
        <v>29</v>
      </c>
      <c r="D39" s="5" t="s">
        <v>30</v>
      </c>
      <c r="E39" s="5">
        <v>43</v>
      </c>
      <c r="F39" s="6">
        <v>13.803000000000001</v>
      </c>
      <c r="G39" s="5">
        <f>RANK(F39,$F$2:$F$39)</f>
        <v>26</v>
      </c>
    </row>
    <row r="40" spans="1:7" outlineLevel="1" x14ac:dyDescent="0.15">
      <c r="A40" s="5"/>
      <c r="B40" s="5"/>
      <c r="C40" s="5"/>
      <c r="D40" s="9" t="s">
        <v>47</v>
      </c>
      <c r="E40" s="5"/>
      <c r="F40" s="6">
        <f>SUBTOTAL(9,F28:F39)</f>
        <v>198.97499999999999</v>
      </c>
      <c r="G40" s="5"/>
    </row>
    <row r="41" spans="1:7" x14ac:dyDescent="0.15">
      <c r="A41" s="5"/>
      <c r="B41" s="5"/>
      <c r="C41" s="5"/>
      <c r="D41" s="9" t="s">
        <v>48</v>
      </c>
      <c r="E41" s="5"/>
      <c r="F41" s="6">
        <f>SUBTOTAL(9,F2:F39)</f>
        <v>631.52699999999993</v>
      </c>
      <c r="G41" s="5"/>
    </row>
  </sheetData>
  <sortState ref="A2:G37">
    <sortCondition descending="1" ref="D2:D37"/>
    <sortCondition descending="1" ref="B2:B37"/>
  </sortState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销售情况统计表</vt:lpstr>
      <vt:lpstr>产品销售情况表</vt:lpstr>
      <vt:lpstr>Sheet3</vt:lpstr>
    </vt:vector>
  </TitlesOfParts>
  <Company>Legend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user</cp:lastModifiedBy>
  <dcterms:created xsi:type="dcterms:W3CDTF">2006-09-05T00:03:58Z</dcterms:created>
  <dcterms:modified xsi:type="dcterms:W3CDTF">2013-08-02T06:25:03Z</dcterms:modified>
</cp:coreProperties>
</file>
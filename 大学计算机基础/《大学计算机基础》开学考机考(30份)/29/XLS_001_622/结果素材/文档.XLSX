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5" yWindow="-120" windowWidth="6120" windowHeight="4785"/>
  </bookViews>
  <sheets>
    <sheet name="成绩统计表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E7" i="1" l="1"/>
  <c r="F7" i="1" s="1"/>
  <c r="E9" i="1"/>
  <c r="F9" i="1" s="1"/>
  <c r="E3" i="1"/>
  <c r="F3" i="1" s="1"/>
  <c r="E8" i="1"/>
  <c r="F8" i="1" s="1"/>
  <c r="E6" i="1"/>
  <c r="F6" i="1" s="1"/>
  <c r="E10" i="1"/>
  <c r="F10" i="1" s="1"/>
  <c r="E4" i="1"/>
  <c r="F4" i="1" s="1"/>
  <c r="E5" i="1"/>
  <c r="F5" i="1" s="1"/>
</calcChain>
</file>

<file path=xl/sharedStrings.xml><?xml version="1.0" encoding="utf-8"?>
<sst xmlns="http://schemas.openxmlformats.org/spreadsheetml/2006/main" count="15" uniqueCount="15">
  <si>
    <t>某运动会成绩统计表</t>
    <phoneticPr fontId="1" type="noConversion"/>
  </si>
  <si>
    <t>金牌</t>
    <phoneticPr fontId="1" type="noConversion"/>
  </si>
  <si>
    <t>银牌</t>
    <phoneticPr fontId="1" type="noConversion"/>
  </si>
  <si>
    <t>铜牌</t>
    <phoneticPr fontId="1" type="noConversion"/>
  </si>
  <si>
    <r>
      <t>A</t>
    </r>
    <r>
      <rPr>
        <sz val="12"/>
        <rFont val="宋体"/>
        <charset val="134"/>
      </rPr>
      <t>队</t>
    </r>
    <phoneticPr fontId="1" type="noConversion"/>
  </si>
  <si>
    <r>
      <t>B</t>
    </r>
    <r>
      <rPr>
        <sz val="12"/>
        <rFont val="宋体"/>
        <charset val="134"/>
      </rPr>
      <t>队</t>
    </r>
    <phoneticPr fontId="1" type="noConversion"/>
  </si>
  <si>
    <r>
      <t>C</t>
    </r>
    <r>
      <rPr>
        <sz val="12"/>
        <rFont val="宋体"/>
        <charset val="134"/>
      </rPr>
      <t>队</t>
    </r>
    <phoneticPr fontId="1" type="noConversion"/>
  </si>
  <si>
    <r>
      <t>E</t>
    </r>
    <r>
      <rPr>
        <sz val="12"/>
        <rFont val="宋体"/>
        <charset val="134"/>
      </rPr>
      <t>队</t>
    </r>
    <phoneticPr fontId="1" type="noConversion"/>
  </si>
  <si>
    <r>
      <t>F</t>
    </r>
    <r>
      <rPr>
        <sz val="12"/>
        <rFont val="宋体"/>
        <charset val="134"/>
      </rPr>
      <t>队</t>
    </r>
    <phoneticPr fontId="1" type="noConversion"/>
  </si>
  <si>
    <r>
      <t>G</t>
    </r>
    <r>
      <rPr>
        <sz val="12"/>
        <rFont val="宋体"/>
        <charset val="134"/>
      </rPr>
      <t>队</t>
    </r>
    <phoneticPr fontId="1" type="noConversion"/>
  </si>
  <si>
    <r>
      <t>D</t>
    </r>
    <r>
      <rPr>
        <sz val="12"/>
        <rFont val="宋体"/>
        <charset val="134"/>
      </rPr>
      <t>队</t>
    </r>
    <phoneticPr fontId="1" type="noConversion"/>
  </si>
  <si>
    <r>
      <t>H</t>
    </r>
    <r>
      <rPr>
        <sz val="12"/>
        <rFont val="宋体"/>
        <charset val="134"/>
      </rPr>
      <t>队</t>
    </r>
    <phoneticPr fontId="1" type="noConversion"/>
  </si>
  <si>
    <t>总积分</t>
    <phoneticPr fontId="1" type="noConversion"/>
  </si>
  <si>
    <t>积分排名</t>
    <phoneticPr fontId="1" type="noConversion"/>
  </si>
  <si>
    <t>队名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</si>
</sst>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成绩统计图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成绩统计表!$B$2</c:f>
              <c:strCache>
                <c:ptCount val="1"/>
                <c:pt idx="0">
                  <c:v>金牌</c:v>
                </c:pt>
              </c:strCache>
            </c:strRef>
          </c:tx>
          <c:invertIfNegative val="0"/>
          <c:cat>
            <c:strRef>
              <c:f>成绩统计表!$A$3:$A$10</c:f>
              <c:strCache>
                <c:ptCount val="8"/>
                <c:pt idx="0">
                  <c:v>D队</c:v>
                </c:pt>
                <c:pt idx="1">
                  <c:v>H队</c:v>
                </c:pt>
                <c:pt idx="2">
                  <c:v>A队</c:v>
                </c:pt>
                <c:pt idx="3">
                  <c:v>F队</c:v>
                </c:pt>
                <c:pt idx="4">
                  <c:v>B队</c:v>
                </c:pt>
                <c:pt idx="5">
                  <c:v>E队</c:v>
                </c:pt>
                <c:pt idx="6">
                  <c:v>C队</c:v>
                </c:pt>
                <c:pt idx="7">
                  <c:v>G队</c:v>
                </c:pt>
              </c:strCache>
            </c:strRef>
          </c:cat>
          <c:val>
            <c:numRef>
              <c:f>成绩统计表!$B$3:$B$10</c:f>
              <c:numCache>
                <c:formatCode>General</c:formatCode>
                <c:ptCount val="8"/>
                <c:pt idx="0">
                  <c:v>34</c:v>
                </c:pt>
                <c:pt idx="1">
                  <c:v>31</c:v>
                </c:pt>
                <c:pt idx="2">
                  <c:v>29</c:v>
                </c:pt>
                <c:pt idx="3">
                  <c:v>26</c:v>
                </c:pt>
                <c:pt idx="4">
                  <c:v>22</c:v>
                </c:pt>
                <c:pt idx="5">
                  <c:v>21</c:v>
                </c:pt>
                <c:pt idx="6">
                  <c:v>18</c:v>
                </c:pt>
                <c:pt idx="7">
                  <c:v>17</c:v>
                </c:pt>
              </c:numCache>
            </c:numRef>
          </c:val>
        </c:ser>
        <c:ser>
          <c:idx val="1"/>
          <c:order val="1"/>
          <c:tx>
            <c:strRef>
              <c:f>成绩统计表!$C$2</c:f>
              <c:strCache>
                <c:ptCount val="1"/>
                <c:pt idx="0">
                  <c:v>银牌</c:v>
                </c:pt>
              </c:strCache>
            </c:strRef>
          </c:tx>
          <c:invertIfNegative val="0"/>
          <c:cat>
            <c:strRef>
              <c:f>成绩统计表!$A$3:$A$10</c:f>
              <c:strCache>
                <c:ptCount val="8"/>
                <c:pt idx="0">
                  <c:v>D队</c:v>
                </c:pt>
                <c:pt idx="1">
                  <c:v>H队</c:v>
                </c:pt>
                <c:pt idx="2">
                  <c:v>A队</c:v>
                </c:pt>
                <c:pt idx="3">
                  <c:v>F队</c:v>
                </c:pt>
                <c:pt idx="4">
                  <c:v>B队</c:v>
                </c:pt>
                <c:pt idx="5">
                  <c:v>E队</c:v>
                </c:pt>
                <c:pt idx="6">
                  <c:v>C队</c:v>
                </c:pt>
                <c:pt idx="7">
                  <c:v>G队</c:v>
                </c:pt>
              </c:strCache>
            </c:strRef>
          </c:cat>
          <c:val>
            <c:numRef>
              <c:f>成绩统计表!$C$3:$C$10</c:f>
              <c:numCache>
                <c:formatCode>General</c:formatCode>
                <c:ptCount val="8"/>
                <c:pt idx="0">
                  <c:v>46</c:v>
                </c:pt>
                <c:pt idx="1">
                  <c:v>31</c:v>
                </c:pt>
                <c:pt idx="2">
                  <c:v>77</c:v>
                </c:pt>
                <c:pt idx="3">
                  <c:v>72</c:v>
                </c:pt>
                <c:pt idx="4">
                  <c:v>59</c:v>
                </c:pt>
                <c:pt idx="5">
                  <c:v>41</c:v>
                </c:pt>
                <c:pt idx="6">
                  <c:v>45</c:v>
                </c:pt>
                <c:pt idx="7">
                  <c:v>49</c:v>
                </c:pt>
              </c:numCache>
            </c:numRef>
          </c:val>
        </c:ser>
        <c:ser>
          <c:idx val="2"/>
          <c:order val="2"/>
          <c:tx>
            <c:strRef>
              <c:f>成绩统计表!$D$2</c:f>
              <c:strCache>
                <c:ptCount val="1"/>
                <c:pt idx="0">
                  <c:v>铜牌</c:v>
                </c:pt>
              </c:strCache>
            </c:strRef>
          </c:tx>
          <c:invertIfNegative val="0"/>
          <c:cat>
            <c:strRef>
              <c:f>成绩统计表!$A$3:$A$10</c:f>
              <c:strCache>
                <c:ptCount val="8"/>
                <c:pt idx="0">
                  <c:v>D队</c:v>
                </c:pt>
                <c:pt idx="1">
                  <c:v>H队</c:v>
                </c:pt>
                <c:pt idx="2">
                  <c:v>A队</c:v>
                </c:pt>
                <c:pt idx="3">
                  <c:v>F队</c:v>
                </c:pt>
                <c:pt idx="4">
                  <c:v>B队</c:v>
                </c:pt>
                <c:pt idx="5">
                  <c:v>E队</c:v>
                </c:pt>
                <c:pt idx="6">
                  <c:v>C队</c:v>
                </c:pt>
                <c:pt idx="7">
                  <c:v>G队</c:v>
                </c:pt>
              </c:strCache>
            </c:strRef>
          </c:cat>
          <c:val>
            <c:numRef>
              <c:f>成绩统计表!$D$3:$D$10</c:f>
              <c:numCache>
                <c:formatCode>General</c:formatCode>
                <c:ptCount val="8"/>
                <c:pt idx="0">
                  <c:v>62</c:v>
                </c:pt>
                <c:pt idx="1">
                  <c:v>35</c:v>
                </c:pt>
                <c:pt idx="2">
                  <c:v>69</c:v>
                </c:pt>
                <c:pt idx="3">
                  <c:v>60</c:v>
                </c:pt>
                <c:pt idx="4">
                  <c:v>78</c:v>
                </c:pt>
                <c:pt idx="5">
                  <c:v>53</c:v>
                </c:pt>
                <c:pt idx="6">
                  <c:v>78</c:v>
                </c:pt>
                <c:pt idx="7">
                  <c:v>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047744"/>
        <c:axId val="60049280"/>
      </c:barChart>
      <c:catAx>
        <c:axId val="60047744"/>
        <c:scaling>
          <c:orientation val="minMax"/>
        </c:scaling>
        <c:delete val="0"/>
        <c:axPos val="b"/>
        <c:majorTickMark val="out"/>
        <c:minorTickMark val="none"/>
        <c:tickLblPos val="nextTo"/>
        <c:crossAx val="60049280"/>
        <c:crosses val="autoZero"/>
        <c:auto val="1"/>
        <c:lblAlgn val="ctr"/>
        <c:lblOffset val="100"/>
        <c:noMultiLvlLbl val="0"/>
      </c:catAx>
      <c:valAx>
        <c:axId val="600492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0047744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61912</xdr:colOff>
      <xdr:row>11</xdr:row>
      <xdr:rowOff>95250</xdr:rowOff>
    </xdr:from>
    <xdr:to>
      <xdr:col>6</xdr:col>
      <xdr:colOff>571500</xdr:colOff>
      <xdr:row>25</xdr:row>
      <xdr:rowOff>95250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A2" sqref="A2:D10"/>
    </sheetView>
  </sheetViews>
  <sheetFormatPr defaultRowHeight="14.25" x14ac:dyDescent="0.15"/>
  <cols>
    <col min="2" max="2" width="8.25" customWidth="1"/>
    <col min="3" max="3" width="7.5" customWidth="1"/>
    <col min="4" max="4" width="7.875" customWidth="1"/>
    <col min="5" max="5" width="10.375" customWidth="1"/>
    <col min="6" max="6" width="8.875" customWidth="1"/>
  </cols>
  <sheetData>
    <row r="1" spans="1:6" x14ac:dyDescent="0.15">
      <c r="A1" s="3" t="s">
        <v>0</v>
      </c>
      <c r="B1" s="3"/>
      <c r="C1" s="3"/>
      <c r="D1" s="3"/>
      <c r="E1" s="3"/>
      <c r="F1" s="3"/>
    </row>
    <row r="2" spans="1:6" x14ac:dyDescent="0.15">
      <c r="A2" t="s">
        <v>14</v>
      </c>
      <c r="B2" t="s">
        <v>1</v>
      </c>
      <c r="C2" t="s">
        <v>2</v>
      </c>
      <c r="D2" t="s">
        <v>3</v>
      </c>
      <c r="E2" t="s">
        <v>12</v>
      </c>
      <c r="F2" t="s">
        <v>13</v>
      </c>
    </row>
    <row r="3" spans="1:6" ht="15.75" x14ac:dyDescent="0.25">
      <c r="A3" s="2" t="s">
        <v>10</v>
      </c>
      <c r="B3">
        <v>34</v>
      </c>
      <c r="C3">
        <v>46</v>
      </c>
      <c r="D3" s="1">
        <v>62</v>
      </c>
      <c r="E3">
        <f t="shared" ref="E3:E10" si="0">B3*10+C3*7+D3*3</f>
        <v>848</v>
      </c>
      <c r="F3">
        <f t="shared" ref="F3:F10" si="1">RANK(E3,$E$3:$E$10)</f>
        <v>4</v>
      </c>
    </row>
    <row r="4" spans="1:6" ht="15.75" x14ac:dyDescent="0.25">
      <c r="A4" s="2" t="s">
        <v>11</v>
      </c>
      <c r="B4">
        <v>31</v>
      </c>
      <c r="C4" s="1">
        <v>31</v>
      </c>
      <c r="D4" s="1">
        <v>35</v>
      </c>
      <c r="E4">
        <f t="shared" si="0"/>
        <v>632</v>
      </c>
      <c r="F4">
        <f t="shared" si="1"/>
        <v>8</v>
      </c>
    </row>
    <row r="5" spans="1:6" ht="15.75" x14ac:dyDescent="0.25">
      <c r="A5" s="2" t="s">
        <v>4</v>
      </c>
      <c r="B5">
        <v>29</v>
      </c>
      <c r="C5">
        <v>77</v>
      </c>
      <c r="D5" s="1">
        <v>69</v>
      </c>
      <c r="E5">
        <f t="shared" si="0"/>
        <v>1036</v>
      </c>
      <c r="F5">
        <f t="shared" si="1"/>
        <v>1</v>
      </c>
    </row>
    <row r="6" spans="1:6" ht="15.75" x14ac:dyDescent="0.25">
      <c r="A6" s="2" t="s">
        <v>8</v>
      </c>
      <c r="B6">
        <v>26</v>
      </c>
      <c r="C6">
        <v>72</v>
      </c>
      <c r="D6" s="1">
        <v>60</v>
      </c>
      <c r="E6">
        <f t="shared" si="0"/>
        <v>944</v>
      </c>
      <c r="F6">
        <f t="shared" si="1"/>
        <v>2</v>
      </c>
    </row>
    <row r="7" spans="1:6" ht="15.75" x14ac:dyDescent="0.25">
      <c r="A7" s="2" t="s">
        <v>5</v>
      </c>
      <c r="B7">
        <v>22</v>
      </c>
      <c r="C7">
        <v>59</v>
      </c>
      <c r="D7" s="1">
        <v>78</v>
      </c>
      <c r="E7">
        <f t="shared" si="0"/>
        <v>867</v>
      </c>
      <c r="F7">
        <f t="shared" si="1"/>
        <v>3</v>
      </c>
    </row>
    <row r="8" spans="1:6" ht="15.75" x14ac:dyDescent="0.25">
      <c r="A8" s="2" t="s">
        <v>7</v>
      </c>
      <c r="B8">
        <v>21</v>
      </c>
      <c r="C8">
        <v>41</v>
      </c>
      <c r="D8" s="1">
        <v>53</v>
      </c>
      <c r="E8">
        <f t="shared" si="0"/>
        <v>656</v>
      </c>
      <c r="F8">
        <f t="shared" si="1"/>
        <v>6</v>
      </c>
    </row>
    <row r="9" spans="1:6" ht="15.75" x14ac:dyDescent="0.25">
      <c r="A9" s="2" t="s">
        <v>6</v>
      </c>
      <c r="B9">
        <v>18</v>
      </c>
      <c r="C9">
        <v>45</v>
      </c>
      <c r="D9" s="1">
        <v>78</v>
      </c>
      <c r="E9">
        <f t="shared" si="0"/>
        <v>729</v>
      </c>
      <c r="F9">
        <f t="shared" si="1"/>
        <v>5</v>
      </c>
    </row>
    <row r="10" spans="1:6" ht="15.75" x14ac:dyDescent="0.25">
      <c r="A10" s="2" t="s">
        <v>9</v>
      </c>
      <c r="B10">
        <v>17</v>
      </c>
      <c r="C10" s="1">
        <v>49</v>
      </c>
      <c r="D10" s="1">
        <v>45</v>
      </c>
      <c r="E10">
        <f t="shared" si="0"/>
        <v>648</v>
      </c>
      <c r="F10">
        <f t="shared" si="1"/>
        <v>7</v>
      </c>
    </row>
  </sheetData>
  <sortState ref="A3:F10">
    <sortCondition descending="1" ref="B3:B10"/>
    <sortCondition descending="1" ref="C3:C10"/>
    <sortCondition descending="1" ref="D3:D10"/>
  </sortState>
  <mergeCells count="1">
    <mergeCell ref="A1:F1"/>
  </mergeCells>
  <phoneticPr fontId="1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成绩统计表</vt:lpstr>
      <vt:lpstr>Sheet2</vt:lpstr>
      <vt:lpstr>Sheet3</vt:lpstr>
    </vt:vector>
  </TitlesOfParts>
  <Company>ysy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ysy</dc:creator>
  <cp:lastModifiedBy>User</cp:lastModifiedBy>
  <dcterms:created xsi:type="dcterms:W3CDTF">2005-08-24T23:59:40Z</dcterms:created>
  <dcterms:modified xsi:type="dcterms:W3CDTF">2013-11-09T06:36:54Z</dcterms:modified>
</cp:coreProperties>
</file>
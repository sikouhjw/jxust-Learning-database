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4940" windowHeight="78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Sheet1!$B$7:$H$15</definedName>
  </definedNames>
  <calcPr calcId="144525"/>
</workbook>
</file>

<file path=xl/calcChain.xml><?xml version="1.0" encoding="utf-8"?>
<calcChain xmlns="http://schemas.openxmlformats.org/spreadsheetml/2006/main">
  <c r="H9" i="2" l="1"/>
  <c r="H10" i="2"/>
  <c r="H11" i="2"/>
  <c r="H12" i="2"/>
  <c r="H13" i="2"/>
  <c r="H8" i="2"/>
</calcChain>
</file>

<file path=xl/comments1.xml><?xml version="1.0" encoding="utf-8"?>
<comments xmlns="http://schemas.openxmlformats.org/spreadsheetml/2006/main">
  <authors>
    <author>雨林木风</author>
  </authors>
  <commentList>
    <comment ref="D9" authorId="0">
      <text>
        <r>
          <rPr>
            <sz val="9"/>
            <color indexed="81"/>
            <rFont val="宋体"/>
            <family val="3"/>
            <charset val="134"/>
          </rPr>
          <t>测试部经理</t>
        </r>
      </text>
    </comment>
  </commentList>
</comments>
</file>

<file path=xl/sharedStrings.xml><?xml version="1.0" encoding="utf-8"?>
<sst xmlns="http://schemas.openxmlformats.org/spreadsheetml/2006/main" count="80" uniqueCount="61">
  <si>
    <t>职员登记表</t>
  </si>
  <si>
    <t>员工编号</t>
  </si>
  <si>
    <t>部门</t>
  </si>
  <si>
    <t>姓名</t>
  </si>
  <si>
    <t>性别</t>
  </si>
  <si>
    <t>年龄</t>
  </si>
  <si>
    <t>工龄</t>
  </si>
  <si>
    <t>工资</t>
  </si>
  <si>
    <t>K12</t>
  </si>
  <si>
    <t>开发部</t>
  </si>
  <si>
    <t>沈一丹</t>
  </si>
  <si>
    <t>男</t>
  </si>
  <si>
    <t>C24</t>
  </si>
  <si>
    <t>测试部</t>
  </si>
  <si>
    <t>刘力国</t>
  </si>
  <si>
    <t>W24</t>
  </si>
  <si>
    <t>文档部</t>
  </si>
  <si>
    <t>王红梅</t>
  </si>
  <si>
    <t>女</t>
  </si>
  <si>
    <t>S21</t>
  </si>
  <si>
    <t>市场部</t>
  </si>
  <si>
    <t>张开芳</t>
  </si>
  <si>
    <t>S20</t>
  </si>
  <si>
    <t>杨帆</t>
  </si>
  <si>
    <t>K01</t>
  </si>
  <si>
    <t>高浩飞</t>
  </si>
  <si>
    <t>W08</t>
  </si>
  <si>
    <t>贾铭</t>
  </si>
  <si>
    <t>C04</t>
  </si>
  <si>
    <t>吴溯源</t>
  </si>
  <si>
    <t>队名</t>
  </si>
  <si>
    <t>地区</t>
  </si>
  <si>
    <t>第一季度</t>
  </si>
  <si>
    <t>第二季度</t>
  </si>
  <si>
    <t>第三季度</t>
  </si>
  <si>
    <t>第四季度</t>
  </si>
  <si>
    <t>全年积分</t>
  </si>
  <si>
    <t>北京</t>
  </si>
  <si>
    <t>北部队</t>
  </si>
  <si>
    <t>天津</t>
  </si>
  <si>
    <t>吉林</t>
  </si>
  <si>
    <t>上海</t>
  </si>
  <si>
    <t>南部队</t>
  </si>
  <si>
    <t>广州</t>
  </si>
  <si>
    <t>长沙</t>
  </si>
  <si>
    <t>全国排球比赛积分表</t>
    <phoneticPr fontId="1" type="noConversion"/>
  </si>
  <si>
    <t>计1</t>
  </si>
  <si>
    <t>本科1</t>
  </si>
  <si>
    <t>专科1</t>
  </si>
  <si>
    <t>计2</t>
  </si>
  <si>
    <t>本科2</t>
  </si>
  <si>
    <t>专科2</t>
  </si>
  <si>
    <t>合计</t>
  </si>
  <si>
    <t>河北</t>
  </si>
  <si>
    <t>山西</t>
  </si>
  <si>
    <t>内蒙古</t>
  </si>
  <si>
    <t>辽宁</t>
  </si>
  <si>
    <t>江苏</t>
  </si>
  <si>
    <t>我国部分省市教育学院本专科学生数</t>
    <phoneticPr fontId="1" type="noConversion"/>
  </si>
  <si>
    <t>毕业生</t>
    <phoneticPr fontId="1" type="noConversion"/>
  </si>
  <si>
    <t>在校生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</si>
</sst>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第一季度</c:v>
                </c:pt>
              </c:strCache>
            </c:strRef>
          </c:tx>
          <c:cat>
            <c:strRef>
              <c:f>Sheet2!$B$8:$B$13</c:f>
              <c:strCache>
                <c:ptCount val="6"/>
                <c:pt idx="0">
                  <c:v>北京</c:v>
                </c:pt>
                <c:pt idx="1">
                  <c:v>天津</c:v>
                </c:pt>
                <c:pt idx="2">
                  <c:v>吉林</c:v>
                </c:pt>
                <c:pt idx="3">
                  <c:v>上海</c:v>
                </c:pt>
                <c:pt idx="4">
                  <c:v>广州</c:v>
                </c:pt>
                <c:pt idx="5">
                  <c:v>长沙</c:v>
                </c:pt>
              </c:strCache>
            </c:strRef>
          </c:cat>
          <c:val>
            <c:numRef>
              <c:f>Sheet2!$D$8:$D$13</c:f>
              <c:numCache>
                <c:formatCode>General</c:formatCode>
                <c:ptCount val="6"/>
                <c:pt idx="0">
                  <c:v>20</c:v>
                </c:pt>
                <c:pt idx="1">
                  <c:v>17</c:v>
                </c:pt>
                <c:pt idx="2">
                  <c:v>25</c:v>
                </c:pt>
                <c:pt idx="3">
                  <c:v>19</c:v>
                </c:pt>
                <c:pt idx="4">
                  <c:v>18</c:v>
                </c:pt>
                <c:pt idx="5">
                  <c:v>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Sheet2!$E$7</c:f>
              <c:strCache>
                <c:ptCount val="1"/>
                <c:pt idx="0">
                  <c:v>第二季度</c:v>
                </c:pt>
              </c:strCache>
            </c:strRef>
          </c:tx>
          <c:cat>
            <c:strRef>
              <c:f>Sheet2!$B$8:$B$13</c:f>
              <c:strCache>
                <c:ptCount val="6"/>
                <c:pt idx="0">
                  <c:v>北京</c:v>
                </c:pt>
                <c:pt idx="1">
                  <c:v>天津</c:v>
                </c:pt>
                <c:pt idx="2">
                  <c:v>吉林</c:v>
                </c:pt>
                <c:pt idx="3">
                  <c:v>上海</c:v>
                </c:pt>
                <c:pt idx="4">
                  <c:v>广州</c:v>
                </c:pt>
                <c:pt idx="5">
                  <c:v>长沙</c:v>
                </c:pt>
              </c:strCache>
            </c:strRef>
          </c:cat>
          <c:val>
            <c:numRef>
              <c:f>Sheet2!$E$8:$E$13</c:f>
              <c:numCache>
                <c:formatCode>General</c:formatCode>
                <c:ptCount val="6"/>
                <c:pt idx="0">
                  <c:v>21</c:v>
                </c:pt>
                <c:pt idx="1">
                  <c:v>23</c:v>
                </c:pt>
                <c:pt idx="2">
                  <c:v>22</c:v>
                </c:pt>
                <c:pt idx="3">
                  <c:v>22</c:v>
                </c:pt>
                <c:pt idx="4">
                  <c:v>25</c:v>
                </c:pt>
                <c:pt idx="5">
                  <c:v>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Sheet2!$F$7</c:f>
              <c:strCache>
                <c:ptCount val="1"/>
                <c:pt idx="0">
                  <c:v>第三季度</c:v>
                </c:pt>
              </c:strCache>
            </c:strRef>
          </c:tx>
          <c:cat>
            <c:strRef>
              <c:f>Sheet2!$B$8:$B$13</c:f>
              <c:strCache>
                <c:ptCount val="6"/>
                <c:pt idx="0">
                  <c:v>北京</c:v>
                </c:pt>
                <c:pt idx="1">
                  <c:v>天津</c:v>
                </c:pt>
                <c:pt idx="2">
                  <c:v>吉林</c:v>
                </c:pt>
                <c:pt idx="3">
                  <c:v>上海</c:v>
                </c:pt>
                <c:pt idx="4">
                  <c:v>广州</c:v>
                </c:pt>
                <c:pt idx="5">
                  <c:v>长沙</c:v>
                </c:pt>
              </c:strCache>
            </c:strRef>
          </c:cat>
          <c:val>
            <c:numRef>
              <c:f>Sheet2!$F$8:$F$13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21</c:v>
                </c:pt>
                <c:pt idx="3">
                  <c:v>20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Sheet2!$G$7</c:f>
              <c:strCache>
                <c:ptCount val="1"/>
                <c:pt idx="0">
                  <c:v>第四季度</c:v>
                </c:pt>
              </c:strCache>
            </c:strRef>
          </c:tx>
          <c:cat>
            <c:strRef>
              <c:f>Sheet2!$B$8:$B$13</c:f>
              <c:strCache>
                <c:ptCount val="6"/>
                <c:pt idx="0">
                  <c:v>北京</c:v>
                </c:pt>
                <c:pt idx="1">
                  <c:v>天津</c:v>
                </c:pt>
                <c:pt idx="2">
                  <c:v>吉林</c:v>
                </c:pt>
                <c:pt idx="3">
                  <c:v>上海</c:v>
                </c:pt>
                <c:pt idx="4">
                  <c:v>广州</c:v>
                </c:pt>
                <c:pt idx="5">
                  <c:v>长沙</c:v>
                </c:pt>
              </c:strCache>
            </c:strRef>
          </c:cat>
          <c:val>
            <c:numRef>
              <c:f>Sheet2!$G$8:$G$13</c:f>
              <c:numCache>
                <c:formatCode>General</c:formatCode>
                <c:ptCount val="6"/>
                <c:pt idx="0">
                  <c:v>20</c:v>
                </c:pt>
                <c:pt idx="1">
                  <c:v>22</c:v>
                </c:pt>
                <c:pt idx="2">
                  <c:v>18</c:v>
                </c:pt>
                <c:pt idx="3">
                  <c:v>23</c:v>
                </c:pt>
                <c:pt idx="4">
                  <c:v>20</c:v>
                </c:pt>
                <c:pt idx="5">
                  <c:v>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97568"/>
        <c:axId val="76403456"/>
      </c:lineChart>
      <c:catAx>
        <c:axId val="76397568"/>
        <c:scaling>
          <c:orientation val="minMax"/>
        </c:scaling>
        <c:delete val="0"/>
        <c:axPos val="b"/>
        <c:majorTickMark val="out"/>
        <c:minorTickMark val="none"/>
        <c:tickLblPos val="nextTo"/>
        <c:crossAx val="76403456"/>
        <c:crosses val="autoZero"/>
        <c:auto val="1"/>
        <c:lblAlgn val="ctr"/>
        <c:lblOffset val="100"/>
        <c:noMultiLvlLbl val="0"/>
      </c:catAx>
      <c:valAx>
        <c:axId val="7640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397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442912</xdr:colOff>
      <xdr:row>15</xdr:row>
      <xdr:rowOff>19050</xdr:rowOff>
    </xdr:from>
    <xdr:to>
      <xdr:col>10</xdr:col>
      <xdr:colOff>214312</xdr:colOff>
      <xdr:row>31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B6:H15"/>
  <sheetViews>
    <sheetView tabSelected="1" workbookViewId="0">
      <selection activeCell="D9" sqref="D9"/>
    </sheetView>
  </sheetViews>
  <sheetFormatPr defaultRowHeight="13.5" x14ac:dyDescent="0.15"/>
  <sheetData>
    <row r="6" spans="2:8" ht="20.25" x14ac:dyDescent="0.15">
      <c r="B6" s="1" t="s">
        <v>0</v>
      </c>
      <c r="C6" s="1"/>
      <c r="D6" s="1"/>
      <c r="E6" s="1"/>
      <c r="F6" s="1"/>
      <c r="G6" s="1"/>
      <c r="H6" s="1"/>
    </row>
    <row r="7" spans="2:8" x14ac:dyDescent="0.15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2:8" x14ac:dyDescent="0.15">
      <c r="B8" t="s">
        <v>8</v>
      </c>
      <c r="C8" t="s">
        <v>9</v>
      </c>
      <c r="D8" t="s">
        <v>10</v>
      </c>
      <c r="E8" t="s">
        <v>11</v>
      </c>
      <c r="F8">
        <v>30</v>
      </c>
      <c r="G8">
        <v>5</v>
      </c>
      <c r="H8">
        <v>2000</v>
      </c>
    </row>
    <row r="9" spans="2:8" x14ac:dyDescent="0.15">
      <c r="B9" t="s">
        <v>12</v>
      </c>
      <c r="C9" t="s">
        <v>13</v>
      </c>
      <c r="D9" t="s">
        <v>14</v>
      </c>
      <c r="E9" t="s">
        <v>11</v>
      </c>
      <c r="F9">
        <v>35</v>
      </c>
      <c r="G9">
        <v>4</v>
      </c>
      <c r="H9">
        <v>1600</v>
      </c>
    </row>
    <row r="10" spans="2:8" hidden="1" x14ac:dyDescent="0.15">
      <c r="B10" t="s">
        <v>15</v>
      </c>
      <c r="C10" t="s">
        <v>16</v>
      </c>
      <c r="D10" t="s">
        <v>17</v>
      </c>
      <c r="E10" t="s">
        <v>18</v>
      </c>
      <c r="F10">
        <v>24</v>
      </c>
      <c r="G10">
        <v>2</v>
      </c>
      <c r="H10">
        <v>1200</v>
      </c>
    </row>
    <row r="11" spans="2:8" x14ac:dyDescent="0.15">
      <c r="B11" t="s">
        <v>19</v>
      </c>
      <c r="C11" t="s">
        <v>20</v>
      </c>
      <c r="D11" t="s">
        <v>21</v>
      </c>
      <c r="E11" t="s">
        <v>11</v>
      </c>
      <c r="F11">
        <v>26</v>
      </c>
      <c r="G11">
        <v>4</v>
      </c>
      <c r="H11">
        <v>1800</v>
      </c>
    </row>
    <row r="12" spans="2:8" x14ac:dyDescent="0.15">
      <c r="B12" t="s">
        <v>22</v>
      </c>
      <c r="C12" t="s">
        <v>20</v>
      </c>
      <c r="D12" t="s">
        <v>23</v>
      </c>
      <c r="E12" t="s">
        <v>18</v>
      </c>
      <c r="F12">
        <v>25</v>
      </c>
      <c r="G12">
        <v>2</v>
      </c>
      <c r="H12">
        <v>1900</v>
      </c>
    </row>
    <row r="13" spans="2:8" hidden="1" x14ac:dyDescent="0.15">
      <c r="B13" t="s">
        <v>24</v>
      </c>
      <c r="C13" t="s">
        <v>9</v>
      </c>
      <c r="D13" t="s">
        <v>25</v>
      </c>
      <c r="E13" t="s">
        <v>18</v>
      </c>
      <c r="F13">
        <v>26</v>
      </c>
      <c r="G13">
        <v>2</v>
      </c>
      <c r="H13">
        <v>1400</v>
      </c>
    </row>
    <row r="14" spans="2:8" hidden="1" x14ac:dyDescent="0.15">
      <c r="B14" t="s">
        <v>26</v>
      </c>
      <c r="C14" t="s">
        <v>16</v>
      </c>
      <c r="D14" t="s">
        <v>27</v>
      </c>
      <c r="E14" t="s">
        <v>11</v>
      </c>
      <c r="F14">
        <v>24</v>
      </c>
      <c r="G14">
        <v>1</v>
      </c>
      <c r="H14">
        <v>1200</v>
      </c>
    </row>
    <row r="15" spans="2:8" x14ac:dyDescent="0.15">
      <c r="B15" t="s">
        <v>28</v>
      </c>
      <c r="C15" t="s">
        <v>13</v>
      </c>
      <c r="D15" t="s">
        <v>29</v>
      </c>
      <c r="E15" t="s">
        <v>11</v>
      </c>
      <c r="F15">
        <v>22</v>
      </c>
      <c r="G15">
        <v>5</v>
      </c>
      <c r="H15">
        <v>1800</v>
      </c>
    </row>
  </sheetData>
  <autoFilter ref="B7:H15">
    <filterColumn colId="6">
      <customFilters>
        <customFilter operator="greaterThan" val="1500"/>
      </customFilters>
    </filterColumn>
  </autoFilter>
  <mergeCells count="1">
    <mergeCell ref="B6:H6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3"/>
  <sheetViews>
    <sheetView workbookViewId="0">
      <selection activeCell="B6" sqref="B6:H6"/>
    </sheetView>
  </sheetViews>
  <sheetFormatPr defaultRowHeight="13.5" x14ac:dyDescent="0.15"/>
  <sheetData>
    <row r="6" spans="2:8" x14ac:dyDescent="0.15">
      <c r="B6" s="2" t="s">
        <v>45</v>
      </c>
      <c r="C6" s="2"/>
      <c r="D6" s="2"/>
      <c r="E6" s="2"/>
      <c r="F6" s="2"/>
      <c r="G6" s="2"/>
      <c r="H6" s="2"/>
    </row>
    <row r="7" spans="2:8" x14ac:dyDescent="0.15"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</row>
    <row r="8" spans="2:8" x14ac:dyDescent="0.15">
      <c r="B8" t="s">
        <v>37</v>
      </c>
      <c r="C8" t="s">
        <v>38</v>
      </c>
      <c r="D8">
        <v>20</v>
      </c>
      <c r="E8">
        <v>21</v>
      </c>
      <c r="F8">
        <v>21</v>
      </c>
      <c r="G8">
        <v>20</v>
      </c>
      <c r="H8">
        <f>SUM(D8:G8)</f>
        <v>82</v>
      </c>
    </row>
    <row r="9" spans="2:8" x14ac:dyDescent="0.15">
      <c r="B9" t="s">
        <v>39</v>
      </c>
      <c r="C9" t="s">
        <v>38</v>
      </c>
      <c r="D9">
        <v>17</v>
      </c>
      <c r="E9">
        <v>23</v>
      </c>
      <c r="F9">
        <v>19</v>
      </c>
      <c r="G9">
        <v>22</v>
      </c>
      <c r="H9">
        <f t="shared" ref="H9:H13" si="0">SUM(D9:G9)</f>
        <v>81</v>
      </c>
    </row>
    <row r="10" spans="2:8" x14ac:dyDescent="0.15">
      <c r="B10" t="s">
        <v>40</v>
      </c>
      <c r="C10" t="s">
        <v>38</v>
      </c>
      <c r="D10">
        <v>25</v>
      </c>
      <c r="E10">
        <v>22</v>
      </c>
      <c r="F10">
        <v>21</v>
      </c>
      <c r="G10">
        <v>18</v>
      </c>
      <c r="H10">
        <f t="shared" si="0"/>
        <v>86</v>
      </c>
    </row>
    <row r="11" spans="2:8" x14ac:dyDescent="0.15">
      <c r="B11" t="s">
        <v>41</v>
      </c>
      <c r="C11" t="s">
        <v>42</v>
      </c>
      <c r="D11">
        <v>19</v>
      </c>
      <c r="E11">
        <v>22</v>
      </c>
      <c r="F11">
        <v>20</v>
      </c>
      <c r="G11">
        <v>23</v>
      </c>
      <c r="H11">
        <f t="shared" si="0"/>
        <v>84</v>
      </c>
    </row>
    <row r="12" spans="2:8" x14ac:dyDescent="0.15">
      <c r="B12" t="s">
        <v>43</v>
      </c>
      <c r="C12" t="s">
        <v>42</v>
      </c>
      <c r="D12">
        <v>18</v>
      </c>
      <c r="E12">
        <v>25</v>
      </c>
      <c r="F12">
        <v>26</v>
      </c>
      <c r="G12">
        <v>20</v>
      </c>
      <c r="H12">
        <f t="shared" si="0"/>
        <v>89</v>
      </c>
    </row>
    <row r="13" spans="2:8" x14ac:dyDescent="0.15">
      <c r="B13" t="s">
        <v>44</v>
      </c>
      <c r="C13" t="s">
        <v>42</v>
      </c>
      <c r="D13">
        <v>23</v>
      </c>
      <c r="E13">
        <v>21</v>
      </c>
      <c r="F13">
        <v>24</v>
      </c>
      <c r="G13">
        <v>23</v>
      </c>
      <c r="H13">
        <f t="shared" si="0"/>
        <v>91</v>
      </c>
    </row>
  </sheetData>
  <mergeCells count="1">
    <mergeCell ref="B6:H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17"/>
  <sheetViews>
    <sheetView workbookViewId="0">
      <selection activeCell="G23" sqref="G23"/>
    </sheetView>
  </sheetViews>
  <sheetFormatPr defaultRowHeight="13.5" x14ac:dyDescent="0.15"/>
  <sheetData>
    <row r="6" spans="2:9" x14ac:dyDescent="0.15">
      <c r="B6" s="2" t="s">
        <v>58</v>
      </c>
      <c r="C6" s="2"/>
      <c r="D6" s="2"/>
      <c r="E6" s="2"/>
      <c r="F6" s="2"/>
      <c r="G6" s="2"/>
      <c r="H6" s="2"/>
      <c r="I6" s="2"/>
    </row>
    <row r="7" spans="2:9" x14ac:dyDescent="0.15">
      <c r="C7" s="2" t="s">
        <v>59</v>
      </c>
      <c r="D7" s="2"/>
      <c r="E7" s="2"/>
      <c r="F7" s="2" t="s">
        <v>60</v>
      </c>
      <c r="G7" s="2"/>
      <c r="H7" s="2"/>
    </row>
    <row r="8" spans="2:9" x14ac:dyDescent="0.15">
      <c r="B8" t="s">
        <v>31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</row>
    <row r="9" spans="2:9" x14ac:dyDescent="0.15">
      <c r="B9" t="s">
        <v>54</v>
      </c>
      <c r="C9">
        <v>2826</v>
      </c>
      <c r="D9">
        <v>452</v>
      </c>
      <c r="E9">
        <v>2374</v>
      </c>
      <c r="F9">
        <v>3710</v>
      </c>
      <c r="G9">
        <v>1719</v>
      </c>
      <c r="H9">
        <v>1991</v>
      </c>
      <c r="I9">
        <v>6536</v>
      </c>
    </row>
    <row r="10" spans="2:9" x14ac:dyDescent="0.15">
      <c r="B10" t="s">
        <v>56</v>
      </c>
      <c r="C10">
        <v>2301</v>
      </c>
      <c r="D10">
        <v>702</v>
      </c>
      <c r="E10">
        <v>1329</v>
      </c>
      <c r="F10">
        <v>2674</v>
      </c>
      <c r="G10">
        <v>881</v>
      </c>
      <c r="H10">
        <v>1793</v>
      </c>
      <c r="I10">
        <v>4705</v>
      </c>
    </row>
    <row r="11" spans="2:9" x14ac:dyDescent="0.15">
      <c r="B11" t="s">
        <v>40</v>
      </c>
      <c r="C11">
        <v>370</v>
      </c>
      <c r="D11">
        <v>119</v>
      </c>
      <c r="E11">
        <v>251</v>
      </c>
      <c r="F11">
        <v>588</v>
      </c>
      <c r="G11">
        <v>497</v>
      </c>
      <c r="H11">
        <v>91</v>
      </c>
      <c r="I11">
        <v>958</v>
      </c>
    </row>
    <row r="12" spans="2:9" x14ac:dyDescent="0.15">
      <c r="B12" t="s">
        <v>57</v>
      </c>
      <c r="C12">
        <v>1760</v>
      </c>
      <c r="D12">
        <v>349</v>
      </c>
      <c r="E12">
        <v>1411</v>
      </c>
      <c r="F12">
        <v>2328</v>
      </c>
      <c r="G12">
        <v>376</v>
      </c>
      <c r="H12">
        <v>1952</v>
      </c>
      <c r="I12">
        <v>4088</v>
      </c>
    </row>
    <row r="13" spans="2:9" x14ac:dyDescent="0.15">
      <c r="B13" t="s">
        <v>41</v>
      </c>
      <c r="C13">
        <v>695</v>
      </c>
      <c r="D13">
        <v>547</v>
      </c>
      <c r="E13">
        <v>112</v>
      </c>
      <c r="F13">
        <v>1049</v>
      </c>
      <c r="G13">
        <v>355</v>
      </c>
      <c r="H13">
        <v>694</v>
      </c>
      <c r="I13">
        <v>1708</v>
      </c>
    </row>
    <row r="14" spans="2:9" x14ac:dyDescent="0.15">
      <c r="B14" t="s">
        <v>53</v>
      </c>
      <c r="C14">
        <v>3404</v>
      </c>
      <c r="D14">
        <v>172</v>
      </c>
      <c r="E14">
        <v>3232</v>
      </c>
      <c r="F14">
        <v>4001</v>
      </c>
      <c r="G14">
        <v>299</v>
      </c>
      <c r="H14">
        <v>3702</v>
      </c>
      <c r="I14">
        <v>7045</v>
      </c>
    </row>
    <row r="15" spans="2:9" x14ac:dyDescent="0.15">
      <c r="B15" t="s">
        <v>39</v>
      </c>
      <c r="C15">
        <v>287</v>
      </c>
      <c r="D15">
        <v>181</v>
      </c>
      <c r="E15">
        <v>106</v>
      </c>
      <c r="F15">
        <v>1057</v>
      </c>
      <c r="G15">
        <v>237</v>
      </c>
      <c r="H15">
        <v>820</v>
      </c>
      <c r="I15">
        <v>1344</v>
      </c>
    </row>
    <row r="16" spans="2:9" x14ac:dyDescent="0.15">
      <c r="B16" t="s">
        <v>37</v>
      </c>
      <c r="C16">
        <v>1180</v>
      </c>
      <c r="D16">
        <v>173</v>
      </c>
      <c r="E16">
        <v>1007</v>
      </c>
      <c r="F16">
        <v>1722</v>
      </c>
      <c r="G16">
        <v>45</v>
      </c>
      <c r="H16">
        <v>1677</v>
      </c>
      <c r="I16">
        <v>2902</v>
      </c>
    </row>
    <row r="17" spans="2:9" x14ac:dyDescent="0.15">
      <c r="B17" t="s">
        <v>55</v>
      </c>
      <c r="C17">
        <v>1634</v>
      </c>
      <c r="D17">
        <v>14</v>
      </c>
      <c r="E17">
        <v>1620</v>
      </c>
      <c r="F17">
        <v>2418</v>
      </c>
      <c r="G17">
        <v>0</v>
      </c>
      <c r="H17">
        <v>2418</v>
      </c>
      <c r="I17">
        <v>4052</v>
      </c>
    </row>
  </sheetData>
  <sortState ref="B9:I17">
    <sortCondition descending="1" ref="G9:G17"/>
  </sortState>
  <mergeCells count="3">
    <mergeCell ref="B6:I6"/>
    <mergeCell ref="C7:E7"/>
    <mergeCell ref="F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user</cp:lastModifiedBy>
  <dcterms:created xsi:type="dcterms:W3CDTF">2011-11-04T02:01:18Z</dcterms:created>
  <dcterms:modified xsi:type="dcterms:W3CDTF">2015-10-16T05:13:03Z</dcterms:modified>
</cp:coreProperties>
</file>
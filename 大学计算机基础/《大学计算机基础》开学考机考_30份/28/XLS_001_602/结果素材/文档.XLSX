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-15" windowWidth="11850" windowHeight="240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Sheet2!$A$1:$I$17</definedName>
  </definedNames>
  <calcPr calcId="144525"/>
</workbook>
</file>

<file path=xl/calcChain.xml><?xml version="1.0" encoding="utf-8"?>
<calcChain xmlns="http://schemas.openxmlformats.org/spreadsheetml/2006/main">
  <c r="H19" i="3" l="1"/>
  <c r="H12" i="3"/>
  <c r="H20" i="3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</calcChain>
</file>

<file path=xl/sharedStrings.xml><?xml version="1.0" encoding="utf-8"?>
<sst xmlns="http://schemas.openxmlformats.org/spreadsheetml/2006/main" count="175" uniqueCount="62">
  <si>
    <t>张华</t>
    <phoneticPr fontId="1" type="noConversion"/>
  </si>
  <si>
    <t>江成</t>
    <phoneticPr fontId="1" type="noConversion"/>
  </si>
  <si>
    <t>汪海</t>
    <phoneticPr fontId="1" type="noConversion"/>
  </si>
  <si>
    <t>王建国</t>
    <phoneticPr fontId="1" type="noConversion"/>
  </si>
  <si>
    <t>李明</t>
    <phoneticPr fontId="1" type="noConversion"/>
  </si>
  <si>
    <t>张路</t>
    <phoneticPr fontId="1" type="noConversion"/>
  </si>
  <si>
    <t>女</t>
    <phoneticPr fontId="1" type="noConversion"/>
  </si>
  <si>
    <t>男</t>
    <phoneticPr fontId="1" type="noConversion"/>
  </si>
  <si>
    <t>住宿</t>
    <phoneticPr fontId="1" type="noConversion"/>
  </si>
  <si>
    <t>走读</t>
    <phoneticPr fontId="1" type="noConversion"/>
  </si>
  <si>
    <t>陈建国</t>
    <phoneticPr fontId="1" type="noConversion"/>
  </si>
  <si>
    <t>章眉</t>
    <phoneticPr fontId="1" type="noConversion"/>
  </si>
  <si>
    <t>李小笑</t>
    <phoneticPr fontId="1" type="noConversion"/>
  </si>
  <si>
    <t>张虎</t>
    <phoneticPr fontId="1" type="noConversion"/>
  </si>
  <si>
    <t>和晓飞</t>
    <phoneticPr fontId="1" type="noConversion"/>
  </si>
  <si>
    <t>何其方</t>
    <phoneticPr fontId="1" type="noConversion"/>
  </si>
  <si>
    <t>赵建华</t>
    <phoneticPr fontId="1" type="noConversion"/>
  </si>
  <si>
    <t>钱一</t>
    <phoneticPr fontId="1" type="noConversion"/>
  </si>
  <si>
    <t>孙阳</t>
    <phoneticPr fontId="1" type="noConversion"/>
  </si>
  <si>
    <t>张鸿运</t>
    <phoneticPr fontId="1" type="noConversion"/>
  </si>
  <si>
    <t>学号</t>
    <phoneticPr fontId="1" type="noConversion"/>
  </si>
  <si>
    <t>姓名</t>
    <phoneticPr fontId="1" type="noConversion"/>
  </si>
  <si>
    <t>学生英语成绩统计表</t>
    <phoneticPr fontId="1" type="noConversion"/>
  </si>
  <si>
    <t>性别</t>
    <phoneticPr fontId="1" type="noConversion"/>
  </si>
  <si>
    <t>住宿情况</t>
    <phoneticPr fontId="1" type="noConversion"/>
  </si>
  <si>
    <t>口语</t>
    <phoneticPr fontId="1" type="noConversion"/>
  </si>
  <si>
    <t>语法</t>
    <phoneticPr fontId="1" type="noConversion"/>
  </si>
  <si>
    <t>听力</t>
    <phoneticPr fontId="1" type="noConversion"/>
  </si>
  <si>
    <t>平均分</t>
    <phoneticPr fontId="1" type="noConversion"/>
  </si>
  <si>
    <t>名次</t>
    <phoneticPr fontId="1" type="noConversion"/>
  </si>
  <si>
    <t>学号</t>
  </si>
  <si>
    <t>姓名</t>
  </si>
  <si>
    <t>性别</t>
  </si>
  <si>
    <t>住宿情况</t>
  </si>
  <si>
    <t>口语</t>
  </si>
  <si>
    <t>语法</t>
  </si>
  <si>
    <t>听力</t>
  </si>
  <si>
    <t>平均分</t>
  </si>
  <si>
    <t>名次</t>
  </si>
  <si>
    <t>张华</t>
  </si>
  <si>
    <t>女</t>
  </si>
  <si>
    <t>住宿</t>
  </si>
  <si>
    <t>江成</t>
  </si>
  <si>
    <t>男</t>
  </si>
  <si>
    <t>走读</t>
  </si>
  <si>
    <t>汪海</t>
  </si>
  <si>
    <t>王建国</t>
  </si>
  <si>
    <t>李明</t>
  </si>
  <si>
    <t>张路</t>
  </si>
  <si>
    <t>陈建国</t>
  </si>
  <si>
    <t>章眉</t>
  </si>
  <si>
    <t>李小笑</t>
  </si>
  <si>
    <t>张虎</t>
  </si>
  <si>
    <t>和晓飞</t>
  </si>
  <si>
    <t>何其方</t>
  </si>
  <si>
    <t>赵建华</t>
  </si>
  <si>
    <t>钱一</t>
  </si>
  <si>
    <t>孙阳</t>
  </si>
  <si>
    <t>张鸿运</t>
  </si>
  <si>
    <t>住宿 平均值</t>
  </si>
  <si>
    <t>走读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</si>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</sst>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2"/>
      <name val="宋体"/>
      <charset val="134"/>
    </font>
    <font>
      <sz val="9"/>
      <name val="宋体"/>
      <charset val="134"/>
    </font>
    <font>
      <sz val="20"/>
      <color rgb="FFFF0000"/>
      <name val="华文新魏"/>
      <family val="3"/>
      <charset val="134"/>
    </font>
    <font>
      <sz val="14"/>
      <color rgb="FF0070C0"/>
      <name val="黑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176" fontId="0" fillId="0" borderId="1" xfId="0" applyNumberFormat="1" applyBorder="1"/>
    <xf numFmtId="176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D2" sqref="D2"/>
    </sheetView>
  </sheetViews>
  <sheetFormatPr defaultRowHeight="14.25" x14ac:dyDescent="0.15"/>
  <cols>
    <col min="1" max="1" width="9.5" bestFit="1" customWidth="1"/>
    <col min="4" max="4" width="11.375" bestFit="1" customWidth="1"/>
  </cols>
  <sheetData>
    <row r="1" spans="1:9" ht="25.5" x14ac:dyDescent="0.35">
      <c r="A1" s="1" t="s">
        <v>22</v>
      </c>
      <c r="B1" s="1"/>
      <c r="C1" s="1"/>
      <c r="D1" s="1"/>
      <c r="E1" s="1"/>
      <c r="F1" s="1"/>
      <c r="G1" s="1"/>
      <c r="H1" s="1"/>
      <c r="I1" s="1"/>
    </row>
    <row r="2" spans="1:9" ht="18.75" x14ac:dyDescent="0.15">
      <c r="A2" s="2" t="s">
        <v>20</v>
      </c>
      <c r="B2" s="2" t="s">
        <v>21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</row>
    <row r="3" spans="1:9" x14ac:dyDescent="0.15">
      <c r="A3" s="3">
        <v>99010001</v>
      </c>
      <c r="B3" s="3" t="s">
        <v>0</v>
      </c>
      <c r="C3" s="3" t="s">
        <v>6</v>
      </c>
      <c r="D3" s="3" t="s">
        <v>8</v>
      </c>
      <c r="E3" s="3">
        <v>66</v>
      </c>
      <c r="F3" s="3">
        <v>90</v>
      </c>
      <c r="G3" s="3">
        <v>76</v>
      </c>
      <c r="H3" s="4">
        <f t="shared" ref="H3:H18" si="0">AVERAGE(E3:G3)</f>
        <v>77.333333333333329</v>
      </c>
      <c r="I3" s="3">
        <f>RANK(H3,$H$3:$H$18,0)</f>
        <v>11</v>
      </c>
    </row>
    <row r="4" spans="1:9" x14ac:dyDescent="0.15">
      <c r="A4" s="3">
        <v>99010002</v>
      </c>
      <c r="B4" s="3" t="s">
        <v>1</v>
      </c>
      <c r="C4" s="3" t="s">
        <v>7</v>
      </c>
      <c r="D4" s="3" t="s">
        <v>9</v>
      </c>
      <c r="E4" s="3">
        <v>95</v>
      </c>
      <c r="F4" s="3">
        <v>88</v>
      </c>
      <c r="G4" s="3">
        <v>73</v>
      </c>
      <c r="H4" s="4">
        <f t="shared" si="0"/>
        <v>85.333333333333329</v>
      </c>
      <c r="I4" s="3">
        <f t="shared" ref="I4:I18" si="1">RANK(H4,$H$3:$H$18,0)</f>
        <v>1</v>
      </c>
    </row>
    <row r="5" spans="1:9" x14ac:dyDescent="0.15">
      <c r="A5" s="3">
        <v>99010003</v>
      </c>
      <c r="B5" s="3" t="s">
        <v>2</v>
      </c>
      <c r="C5" s="3" t="s">
        <v>7</v>
      </c>
      <c r="D5" s="3" t="s">
        <v>8</v>
      </c>
      <c r="E5" s="3">
        <v>65</v>
      </c>
      <c r="F5" s="3">
        <v>85</v>
      </c>
      <c r="G5" s="3">
        <v>85</v>
      </c>
      <c r="H5" s="4">
        <f t="shared" si="0"/>
        <v>78.333333333333329</v>
      </c>
      <c r="I5" s="3">
        <f t="shared" si="1"/>
        <v>10</v>
      </c>
    </row>
    <row r="6" spans="1:9" x14ac:dyDescent="0.15">
      <c r="A6" s="3">
        <v>99010004</v>
      </c>
      <c r="B6" s="3" t="s">
        <v>3</v>
      </c>
      <c r="C6" s="3" t="s">
        <v>7</v>
      </c>
      <c r="D6" s="3" t="s">
        <v>8</v>
      </c>
      <c r="E6" s="3">
        <v>47</v>
      </c>
      <c r="F6" s="3">
        <v>79</v>
      </c>
      <c r="G6" s="3">
        <v>96</v>
      </c>
      <c r="H6" s="4">
        <f t="shared" si="0"/>
        <v>74</v>
      </c>
      <c r="I6" s="3">
        <f t="shared" si="1"/>
        <v>14</v>
      </c>
    </row>
    <row r="7" spans="1:9" x14ac:dyDescent="0.15">
      <c r="A7" s="3">
        <v>99010005</v>
      </c>
      <c r="B7" s="3" t="s">
        <v>4</v>
      </c>
      <c r="C7" s="3" t="s">
        <v>6</v>
      </c>
      <c r="D7" s="3" t="s">
        <v>9</v>
      </c>
      <c r="E7" s="3">
        <v>66</v>
      </c>
      <c r="F7" s="3">
        <v>68</v>
      </c>
      <c r="G7" s="3">
        <v>78</v>
      </c>
      <c r="H7" s="4">
        <f t="shared" si="0"/>
        <v>70.666666666666671</v>
      </c>
      <c r="I7" s="3">
        <f t="shared" si="1"/>
        <v>15</v>
      </c>
    </row>
    <row r="8" spans="1:9" x14ac:dyDescent="0.15">
      <c r="A8" s="3">
        <v>99010006</v>
      </c>
      <c r="B8" s="3" t="s">
        <v>5</v>
      </c>
      <c r="C8" s="3" t="s">
        <v>6</v>
      </c>
      <c r="D8" s="3" t="s">
        <v>9</v>
      </c>
      <c r="E8" s="3">
        <v>73</v>
      </c>
      <c r="F8" s="3">
        <v>90</v>
      </c>
      <c r="G8" s="3">
        <v>80</v>
      </c>
      <c r="H8" s="4">
        <f t="shared" si="0"/>
        <v>81</v>
      </c>
      <c r="I8" s="3">
        <f t="shared" si="1"/>
        <v>6</v>
      </c>
    </row>
    <row r="9" spans="1:9" x14ac:dyDescent="0.15">
      <c r="A9" s="3">
        <v>99010007</v>
      </c>
      <c r="B9" s="3" t="s">
        <v>10</v>
      </c>
      <c r="C9" s="3" t="s">
        <v>7</v>
      </c>
      <c r="D9" s="3" t="s">
        <v>8</v>
      </c>
      <c r="E9" s="3">
        <v>97</v>
      </c>
      <c r="F9" s="3">
        <v>56</v>
      </c>
      <c r="G9" s="3">
        <v>88</v>
      </c>
      <c r="H9" s="4">
        <f t="shared" si="0"/>
        <v>80.333333333333329</v>
      </c>
      <c r="I9" s="3">
        <f t="shared" si="1"/>
        <v>8</v>
      </c>
    </row>
    <row r="10" spans="1:9" x14ac:dyDescent="0.15">
      <c r="A10" s="3">
        <v>99010008</v>
      </c>
      <c r="B10" s="3" t="s">
        <v>11</v>
      </c>
      <c r="C10" s="3" t="s">
        <v>6</v>
      </c>
      <c r="D10" s="3" t="s">
        <v>8</v>
      </c>
      <c r="E10" s="3">
        <v>75</v>
      </c>
      <c r="F10" s="3">
        <v>98</v>
      </c>
      <c r="G10" s="3">
        <v>78</v>
      </c>
      <c r="H10" s="4">
        <f t="shared" si="0"/>
        <v>83.666666666666671</v>
      </c>
      <c r="I10" s="3">
        <f t="shared" si="1"/>
        <v>2</v>
      </c>
    </row>
    <row r="11" spans="1:9" x14ac:dyDescent="0.15">
      <c r="A11" s="3">
        <v>99010009</v>
      </c>
      <c r="B11" s="3" t="s">
        <v>12</v>
      </c>
      <c r="C11" s="3" t="s">
        <v>6</v>
      </c>
      <c r="D11" s="3" t="s">
        <v>9</v>
      </c>
      <c r="E11" s="3">
        <v>63</v>
      </c>
      <c r="F11" s="3">
        <v>99</v>
      </c>
      <c r="G11" s="3">
        <v>74</v>
      </c>
      <c r="H11" s="4">
        <f t="shared" si="0"/>
        <v>78.666666666666671</v>
      </c>
      <c r="I11" s="3">
        <f t="shared" si="1"/>
        <v>9</v>
      </c>
    </row>
    <row r="12" spans="1:9" x14ac:dyDescent="0.15">
      <c r="A12" s="3">
        <v>99010010</v>
      </c>
      <c r="B12" s="3" t="s">
        <v>13</v>
      </c>
      <c r="C12" s="3" t="s">
        <v>7</v>
      </c>
      <c r="D12" s="3" t="s">
        <v>8</v>
      </c>
      <c r="E12" s="3">
        <v>89</v>
      </c>
      <c r="F12" s="3">
        <v>57</v>
      </c>
      <c r="G12" s="3">
        <v>84</v>
      </c>
      <c r="H12" s="4">
        <f t="shared" si="0"/>
        <v>76.666666666666671</v>
      </c>
      <c r="I12" s="3">
        <f t="shared" si="1"/>
        <v>13</v>
      </c>
    </row>
    <row r="13" spans="1:9" x14ac:dyDescent="0.15">
      <c r="A13" s="3">
        <v>99010011</v>
      </c>
      <c r="B13" s="3" t="s">
        <v>14</v>
      </c>
      <c r="C13" s="3" t="s">
        <v>6</v>
      </c>
      <c r="D13" s="3" t="s">
        <v>8</v>
      </c>
      <c r="E13" s="3">
        <v>87</v>
      </c>
      <c r="F13" s="3">
        <v>75</v>
      </c>
      <c r="G13" s="3">
        <v>86</v>
      </c>
      <c r="H13" s="4">
        <f t="shared" si="0"/>
        <v>82.666666666666671</v>
      </c>
      <c r="I13" s="3">
        <f t="shared" si="1"/>
        <v>3</v>
      </c>
    </row>
    <row r="14" spans="1:9" x14ac:dyDescent="0.15">
      <c r="A14" s="3">
        <v>99010012</v>
      </c>
      <c r="B14" s="3" t="s">
        <v>15</v>
      </c>
      <c r="C14" s="3" t="s">
        <v>6</v>
      </c>
      <c r="D14" s="3" t="s">
        <v>9</v>
      </c>
      <c r="E14" s="3">
        <v>54</v>
      </c>
      <c r="F14" s="3">
        <v>65</v>
      </c>
      <c r="G14" s="3">
        <v>71</v>
      </c>
      <c r="H14" s="4">
        <f t="shared" si="0"/>
        <v>63.333333333333336</v>
      </c>
      <c r="I14" s="3">
        <f t="shared" si="1"/>
        <v>16</v>
      </c>
    </row>
    <row r="15" spans="1:9" x14ac:dyDescent="0.15">
      <c r="A15" s="3">
        <v>99010013</v>
      </c>
      <c r="B15" s="3" t="s">
        <v>16</v>
      </c>
      <c r="C15" s="3" t="s">
        <v>7</v>
      </c>
      <c r="D15" s="3" t="s">
        <v>8</v>
      </c>
      <c r="E15" s="3">
        <v>88</v>
      </c>
      <c r="F15" s="3">
        <v>59</v>
      </c>
      <c r="G15" s="3">
        <v>95</v>
      </c>
      <c r="H15" s="4">
        <f t="shared" si="0"/>
        <v>80.666666666666671</v>
      </c>
      <c r="I15" s="3">
        <f t="shared" si="1"/>
        <v>7</v>
      </c>
    </row>
    <row r="16" spans="1:9" x14ac:dyDescent="0.15">
      <c r="A16" s="3">
        <v>99010014</v>
      </c>
      <c r="B16" s="3" t="s">
        <v>17</v>
      </c>
      <c r="C16" s="3" t="s">
        <v>7</v>
      </c>
      <c r="D16" s="3" t="s">
        <v>8</v>
      </c>
      <c r="E16" s="3">
        <v>88</v>
      </c>
      <c r="F16" s="3">
        <v>63</v>
      </c>
      <c r="G16" s="3">
        <v>96</v>
      </c>
      <c r="H16" s="4">
        <f t="shared" si="0"/>
        <v>82.333333333333329</v>
      </c>
      <c r="I16" s="3">
        <f t="shared" si="1"/>
        <v>4</v>
      </c>
    </row>
    <row r="17" spans="1:9" x14ac:dyDescent="0.15">
      <c r="A17" s="3">
        <v>99010015</v>
      </c>
      <c r="B17" s="3" t="s">
        <v>18</v>
      </c>
      <c r="C17" s="3" t="s">
        <v>7</v>
      </c>
      <c r="D17" s="3" t="s">
        <v>8</v>
      </c>
      <c r="E17" s="3">
        <v>95</v>
      </c>
      <c r="F17" s="3">
        <v>78</v>
      </c>
      <c r="G17" s="3">
        <v>73</v>
      </c>
      <c r="H17" s="4">
        <f t="shared" si="0"/>
        <v>82</v>
      </c>
      <c r="I17" s="3">
        <f t="shared" si="1"/>
        <v>5</v>
      </c>
    </row>
    <row r="18" spans="1:9" x14ac:dyDescent="0.15">
      <c r="A18" s="3">
        <v>99010016</v>
      </c>
      <c r="B18" s="3" t="s">
        <v>19</v>
      </c>
      <c r="C18" s="3" t="s">
        <v>7</v>
      </c>
      <c r="D18" s="3" t="s">
        <v>9</v>
      </c>
      <c r="E18" s="3">
        <v>94</v>
      </c>
      <c r="F18" s="3">
        <v>74</v>
      </c>
      <c r="G18" s="3">
        <v>63</v>
      </c>
      <c r="H18" s="4">
        <f t="shared" si="0"/>
        <v>77</v>
      </c>
      <c r="I18" s="3">
        <f t="shared" si="1"/>
        <v>12</v>
      </c>
    </row>
  </sheetData>
  <phoneticPr fontId="1" type="noConversion"/>
  <pageMargins left="0.75" right="0.75" top="1" bottom="1" header="0.5" footer="0.5"/>
  <pageSetup paperSize="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7"/>
  <sheetViews>
    <sheetView workbookViewId="0">
      <selection activeCell="D6" sqref="D6"/>
    </sheetView>
  </sheetViews>
  <sheetFormatPr defaultRowHeight="14.25" x14ac:dyDescent="0.15"/>
  <sheetData>
    <row r="1" spans="1:9" x14ac:dyDescent="0.1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 spans="1:9" x14ac:dyDescent="0.15">
      <c r="A2">
        <v>99010001</v>
      </c>
      <c r="B2" t="s">
        <v>39</v>
      </c>
      <c r="C2" t="s">
        <v>40</v>
      </c>
      <c r="D2" t="s">
        <v>41</v>
      </c>
      <c r="E2">
        <v>66</v>
      </c>
      <c r="F2">
        <v>90</v>
      </c>
      <c r="G2">
        <v>76</v>
      </c>
      <c r="H2" s="5">
        <v>77.333333333333329</v>
      </c>
      <c r="I2">
        <v>11</v>
      </c>
    </row>
    <row r="3" spans="1:9" x14ac:dyDescent="0.15">
      <c r="A3">
        <v>99010002</v>
      </c>
      <c r="B3" t="s">
        <v>42</v>
      </c>
      <c r="C3" t="s">
        <v>43</v>
      </c>
      <c r="D3" t="s">
        <v>44</v>
      </c>
      <c r="E3">
        <v>95</v>
      </c>
      <c r="F3">
        <v>88</v>
      </c>
      <c r="G3">
        <v>73</v>
      </c>
      <c r="H3" s="5">
        <v>85.333333333333329</v>
      </c>
      <c r="I3">
        <v>1</v>
      </c>
    </row>
    <row r="4" spans="1:9" hidden="1" x14ac:dyDescent="0.15">
      <c r="A4">
        <v>99010003</v>
      </c>
      <c r="B4" t="s">
        <v>45</v>
      </c>
      <c r="C4" t="s">
        <v>43</v>
      </c>
      <c r="D4" t="s">
        <v>41</v>
      </c>
      <c r="E4">
        <v>65</v>
      </c>
      <c r="F4">
        <v>85</v>
      </c>
      <c r="G4">
        <v>85</v>
      </c>
      <c r="H4" s="5">
        <v>78.333333333333329</v>
      </c>
      <c r="I4">
        <v>10</v>
      </c>
    </row>
    <row r="5" spans="1:9" hidden="1" x14ac:dyDescent="0.15">
      <c r="A5">
        <v>99010004</v>
      </c>
      <c r="B5" t="s">
        <v>46</v>
      </c>
      <c r="C5" t="s">
        <v>43</v>
      </c>
      <c r="D5" t="s">
        <v>41</v>
      </c>
      <c r="E5">
        <v>47</v>
      </c>
      <c r="F5">
        <v>79</v>
      </c>
      <c r="G5">
        <v>96</v>
      </c>
      <c r="H5" s="5">
        <v>74</v>
      </c>
      <c r="I5">
        <v>14</v>
      </c>
    </row>
    <row r="6" spans="1:9" x14ac:dyDescent="0.15">
      <c r="A6">
        <v>99010005</v>
      </c>
      <c r="B6" t="s">
        <v>47</v>
      </c>
      <c r="C6" t="s">
        <v>40</v>
      </c>
      <c r="D6" t="s">
        <v>44</v>
      </c>
      <c r="E6">
        <v>66</v>
      </c>
      <c r="F6">
        <v>68</v>
      </c>
      <c r="G6">
        <v>78</v>
      </c>
      <c r="H6" s="5">
        <v>70.666666666666671</v>
      </c>
      <c r="I6">
        <v>15</v>
      </c>
    </row>
    <row r="7" spans="1:9" x14ac:dyDescent="0.15">
      <c r="A7">
        <v>99010006</v>
      </c>
      <c r="B7" t="s">
        <v>48</v>
      </c>
      <c r="C7" t="s">
        <v>40</v>
      </c>
      <c r="D7" t="s">
        <v>44</v>
      </c>
      <c r="E7">
        <v>73</v>
      </c>
      <c r="F7">
        <v>90</v>
      </c>
      <c r="G7">
        <v>80</v>
      </c>
      <c r="H7" s="5">
        <v>81</v>
      </c>
      <c r="I7">
        <v>6</v>
      </c>
    </row>
    <row r="8" spans="1:9" hidden="1" x14ac:dyDescent="0.15">
      <c r="A8">
        <v>99010007</v>
      </c>
      <c r="B8" t="s">
        <v>49</v>
      </c>
      <c r="C8" t="s">
        <v>43</v>
      </c>
      <c r="D8" t="s">
        <v>41</v>
      </c>
      <c r="E8">
        <v>97</v>
      </c>
      <c r="F8">
        <v>56</v>
      </c>
      <c r="G8">
        <v>88</v>
      </c>
      <c r="H8" s="5">
        <v>80.333333333333329</v>
      </c>
      <c r="I8">
        <v>8</v>
      </c>
    </row>
    <row r="9" spans="1:9" x14ac:dyDescent="0.15">
      <c r="A9">
        <v>99010008</v>
      </c>
      <c r="B9" t="s">
        <v>50</v>
      </c>
      <c r="C9" t="s">
        <v>40</v>
      </c>
      <c r="D9" t="s">
        <v>41</v>
      </c>
      <c r="E9">
        <v>75</v>
      </c>
      <c r="F9">
        <v>98</v>
      </c>
      <c r="G9">
        <v>78</v>
      </c>
      <c r="H9" s="5">
        <v>83.666666666666671</v>
      </c>
      <c r="I9">
        <v>2</v>
      </c>
    </row>
    <row r="10" spans="1:9" x14ac:dyDescent="0.15">
      <c r="A10">
        <v>99010009</v>
      </c>
      <c r="B10" t="s">
        <v>51</v>
      </c>
      <c r="C10" t="s">
        <v>40</v>
      </c>
      <c r="D10" t="s">
        <v>44</v>
      </c>
      <c r="E10">
        <v>63</v>
      </c>
      <c r="F10">
        <v>99</v>
      </c>
      <c r="G10">
        <v>74</v>
      </c>
      <c r="H10" s="5">
        <v>78.666666666666671</v>
      </c>
      <c r="I10">
        <v>9</v>
      </c>
    </row>
    <row r="11" spans="1:9" hidden="1" x14ac:dyDescent="0.15">
      <c r="A11">
        <v>99010010</v>
      </c>
      <c r="B11" t="s">
        <v>52</v>
      </c>
      <c r="C11" t="s">
        <v>43</v>
      </c>
      <c r="D11" t="s">
        <v>41</v>
      </c>
      <c r="E11">
        <v>89</v>
      </c>
      <c r="F11">
        <v>57</v>
      </c>
      <c r="G11">
        <v>84</v>
      </c>
      <c r="H11" s="5">
        <v>76.666666666666671</v>
      </c>
      <c r="I11">
        <v>13</v>
      </c>
    </row>
    <row r="12" spans="1:9" hidden="1" x14ac:dyDescent="0.15">
      <c r="A12">
        <v>99010011</v>
      </c>
      <c r="B12" t="s">
        <v>53</v>
      </c>
      <c r="C12" t="s">
        <v>40</v>
      </c>
      <c r="D12" t="s">
        <v>41</v>
      </c>
      <c r="E12">
        <v>87</v>
      </c>
      <c r="F12">
        <v>75</v>
      </c>
      <c r="G12">
        <v>86</v>
      </c>
      <c r="H12" s="5">
        <v>82.666666666666671</v>
      </c>
      <c r="I12">
        <v>3</v>
      </c>
    </row>
    <row r="13" spans="1:9" x14ac:dyDescent="0.15">
      <c r="A13">
        <v>99010012</v>
      </c>
      <c r="B13" t="s">
        <v>54</v>
      </c>
      <c r="C13" t="s">
        <v>40</v>
      </c>
      <c r="D13" t="s">
        <v>44</v>
      </c>
      <c r="E13">
        <v>54</v>
      </c>
      <c r="F13">
        <v>65</v>
      </c>
      <c r="G13">
        <v>71</v>
      </c>
      <c r="H13" s="5">
        <v>63.333333333333336</v>
      </c>
      <c r="I13">
        <v>16</v>
      </c>
    </row>
    <row r="14" spans="1:9" hidden="1" x14ac:dyDescent="0.15">
      <c r="A14">
        <v>99010013</v>
      </c>
      <c r="B14" t="s">
        <v>55</v>
      </c>
      <c r="C14" t="s">
        <v>43</v>
      </c>
      <c r="D14" t="s">
        <v>41</v>
      </c>
      <c r="E14">
        <v>88</v>
      </c>
      <c r="F14">
        <v>59</v>
      </c>
      <c r="G14">
        <v>95</v>
      </c>
      <c r="H14" s="5">
        <v>80.666666666666671</v>
      </c>
      <c r="I14">
        <v>7</v>
      </c>
    </row>
    <row r="15" spans="1:9" hidden="1" x14ac:dyDescent="0.15">
      <c r="A15">
        <v>99010014</v>
      </c>
      <c r="B15" t="s">
        <v>56</v>
      </c>
      <c r="C15" t="s">
        <v>43</v>
      </c>
      <c r="D15" t="s">
        <v>41</v>
      </c>
      <c r="E15">
        <v>88</v>
      </c>
      <c r="F15">
        <v>63</v>
      </c>
      <c r="G15">
        <v>96</v>
      </c>
      <c r="H15" s="5">
        <v>82.333333333333329</v>
      </c>
      <c r="I15">
        <v>4</v>
      </c>
    </row>
    <row r="16" spans="1:9" x14ac:dyDescent="0.15">
      <c r="A16">
        <v>99010015</v>
      </c>
      <c r="B16" t="s">
        <v>57</v>
      </c>
      <c r="C16" t="s">
        <v>43</v>
      </c>
      <c r="D16" t="s">
        <v>41</v>
      </c>
      <c r="E16">
        <v>95</v>
      </c>
      <c r="F16">
        <v>78</v>
      </c>
      <c r="G16">
        <v>73</v>
      </c>
      <c r="H16" s="5">
        <v>82</v>
      </c>
      <c r="I16">
        <v>5</v>
      </c>
    </row>
    <row r="17" spans="1:9" hidden="1" x14ac:dyDescent="0.15">
      <c r="A17">
        <v>99010016</v>
      </c>
      <c r="B17" t="s">
        <v>58</v>
      </c>
      <c r="C17" t="s">
        <v>43</v>
      </c>
      <c r="D17" t="s">
        <v>44</v>
      </c>
      <c r="E17">
        <v>94</v>
      </c>
      <c r="F17">
        <v>74</v>
      </c>
      <c r="G17">
        <v>63</v>
      </c>
      <c r="H17" s="5">
        <v>77</v>
      </c>
      <c r="I17">
        <v>12</v>
      </c>
    </row>
  </sheetData>
  <autoFilter ref="A1:I17">
    <filterColumn colId="6">
      <customFilters and="1">
        <customFilter operator="greaterThanOrEqual" val="70"/>
        <customFilter operator="lessThanOrEqual" val="80"/>
      </customFilters>
    </filterColumn>
  </autoFilter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D4" sqref="D4"/>
    </sheetView>
  </sheetViews>
  <sheetFormatPr defaultRowHeight="14.25" outlineLevelRow="2" x14ac:dyDescent="0.15"/>
  <sheetData>
    <row r="1" spans="1:9" x14ac:dyDescent="0.1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 spans="1:9" outlineLevel="2" x14ac:dyDescent="0.15">
      <c r="A2">
        <v>99010001</v>
      </c>
      <c r="B2" t="s">
        <v>39</v>
      </c>
      <c r="C2" t="s">
        <v>40</v>
      </c>
      <c r="D2" t="s">
        <v>41</v>
      </c>
      <c r="E2">
        <v>66</v>
      </c>
      <c r="F2">
        <v>90</v>
      </c>
      <c r="G2">
        <v>76</v>
      </c>
      <c r="H2" s="5">
        <v>77.333333333333329</v>
      </c>
      <c r="I2">
        <v>11</v>
      </c>
    </row>
    <row r="3" spans="1:9" outlineLevel="2" x14ac:dyDescent="0.15">
      <c r="A3">
        <v>99010003</v>
      </c>
      <c r="B3" t="s">
        <v>45</v>
      </c>
      <c r="C3" t="s">
        <v>43</v>
      </c>
      <c r="D3" t="s">
        <v>41</v>
      </c>
      <c r="E3">
        <v>65</v>
      </c>
      <c r="F3">
        <v>85</v>
      </c>
      <c r="G3">
        <v>85</v>
      </c>
      <c r="H3" s="5">
        <v>78.333333333333329</v>
      </c>
      <c r="I3">
        <v>10</v>
      </c>
    </row>
    <row r="4" spans="1:9" outlineLevel="2" x14ac:dyDescent="0.15">
      <c r="A4">
        <v>99010004</v>
      </c>
      <c r="B4" t="s">
        <v>46</v>
      </c>
      <c r="C4" t="s">
        <v>43</v>
      </c>
      <c r="D4" t="s">
        <v>41</v>
      </c>
      <c r="E4">
        <v>47</v>
      </c>
      <c r="F4">
        <v>79</v>
      </c>
      <c r="G4">
        <v>96</v>
      </c>
      <c r="H4" s="5">
        <v>74</v>
      </c>
      <c r="I4">
        <v>14</v>
      </c>
    </row>
    <row r="5" spans="1:9" outlineLevel="2" x14ac:dyDescent="0.15">
      <c r="A5">
        <v>99010007</v>
      </c>
      <c r="B5" t="s">
        <v>49</v>
      </c>
      <c r="C5" t="s">
        <v>43</v>
      </c>
      <c r="D5" t="s">
        <v>41</v>
      </c>
      <c r="E5">
        <v>97</v>
      </c>
      <c r="F5">
        <v>56</v>
      </c>
      <c r="G5">
        <v>88</v>
      </c>
      <c r="H5" s="5">
        <v>80.333333333333329</v>
      </c>
      <c r="I5">
        <v>8</v>
      </c>
    </row>
    <row r="6" spans="1:9" outlineLevel="2" x14ac:dyDescent="0.15">
      <c r="A6">
        <v>99010008</v>
      </c>
      <c r="B6" t="s">
        <v>50</v>
      </c>
      <c r="C6" t="s">
        <v>40</v>
      </c>
      <c r="D6" t="s">
        <v>41</v>
      </c>
      <c r="E6">
        <v>75</v>
      </c>
      <c r="F6">
        <v>98</v>
      </c>
      <c r="G6">
        <v>78</v>
      </c>
      <c r="H6" s="5">
        <v>83.666666666666671</v>
      </c>
      <c r="I6">
        <v>2</v>
      </c>
    </row>
    <row r="7" spans="1:9" outlineLevel="2" x14ac:dyDescent="0.15">
      <c r="A7">
        <v>99010010</v>
      </c>
      <c r="B7" t="s">
        <v>52</v>
      </c>
      <c r="C7" t="s">
        <v>43</v>
      </c>
      <c r="D7" t="s">
        <v>41</v>
      </c>
      <c r="E7">
        <v>89</v>
      </c>
      <c r="F7">
        <v>57</v>
      </c>
      <c r="G7">
        <v>84</v>
      </c>
      <c r="H7" s="5">
        <v>76.666666666666671</v>
      </c>
      <c r="I7">
        <v>13</v>
      </c>
    </row>
    <row r="8" spans="1:9" outlineLevel="2" x14ac:dyDescent="0.15">
      <c r="A8">
        <v>99010011</v>
      </c>
      <c r="B8" t="s">
        <v>53</v>
      </c>
      <c r="C8" t="s">
        <v>40</v>
      </c>
      <c r="D8" t="s">
        <v>41</v>
      </c>
      <c r="E8">
        <v>87</v>
      </c>
      <c r="F8">
        <v>75</v>
      </c>
      <c r="G8">
        <v>86</v>
      </c>
      <c r="H8" s="5">
        <v>82.666666666666671</v>
      </c>
      <c r="I8">
        <v>3</v>
      </c>
    </row>
    <row r="9" spans="1:9" outlineLevel="2" x14ac:dyDescent="0.15">
      <c r="A9">
        <v>99010013</v>
      </c>
      <c r="B9" t="s">
        <v>55</v>
      </c>
      <c r="C9" t="s">
        <v>43</v>
      </c>
      <c r="D9" t="s">
        <v>41</v>
      </c>
      <c r="E9">
        <v>88</v>
      </c>
      <c r="F9">
        <v>59</v>
      </c>
      <c r="G9">
        <v>95</v>
      </c>
      <c r="H9" s="5">
        <v>80.666666666666671</v>
      </c>
      <c r="I9">
        <v>7</v>
      </c>
    </row>
    <row r="10" spans="1:9" outlineLevel="2" x14ac:dyDescent="0.15">
      <c r="A10">
        <v>99010014</v>
      </c>
      <c r="B10" t="s">
        <v>56</v>
      </c>
      <c r="C10" t="s">
        <v>43</v>
      </c>
      <c r="D10" t="s">
        <v>41</v>
      </c>
      <c r="E10">
        <v>88</v>
      </c>
      <c r="F10">
        <v>63</v>
      </c>
      <c r="G10">
        <v>96</v>
      </c>
      <c r="H10" s="5">
        <v>82.333333333333329</v>
      </c>
      <c r="I10">
        <v>4</v>
      </c>
    </row>
    <row r="11" spans="1:9" outlineLevel="2" x14ac:dyDescent="0.15">
      <c r="A11">
        <v>99010015</v>
      </c>
      <c r="B11" t="s">
        <v>57</v>
      </c>
      <c r="C11" t="s">
        <v>43</v>
      </c>
      <c r="D11" t="s">
        <v>41</v>
      </c>
      <c r="E11">
        <v>95</v>
      </c>
      <c r="F11">
        <v>78</v>
      </c>
      <c r="G11">
        <v>73</v>
      </c>
      <c r="H11" s="5">
        <v>82</v>
      </c>
      <c r="I11">
        <v>5</v>
      </c>
    </row>
    <row r="12" spans="1:9" outlineLevel="1" x14ac:dyDescent="0.15">
      <c r="D12" s="6" t="s">
        <v>59</v>
      </c>
      <c r="H12" s="5">
        <f>SUBTOTAL(1,H2:H11)</f>
        <v>79.8</v>
      </c>
    </row>
    <row r="13" spans="1:9" outlineLevel="2" x14ac:dyDescent="0.15">
      <c r="A13">
        <v>99010002</v>
      </c>
      <c r="B13" t="s">
        <v>42</v>
      </c>
      <c r="C13" t="s">
        <v>43</v>
      </c>
      <c r="D13" t="s">
        <v>44</v>
      </c>
      <c r="E13">
        <v>95</v>
      </c>
      <c r="F13">
        <v>88</v>
      </c>
      <c r="G13">
        <v>73</v>
      </c>
      <c r="H13" s="5">
        <v>85.333333333333329</v>
      </c>
      <c r="I13">
        <v>1</v>
      </c>
    </row>
    <row r="14" spans="1:9" outlineLevel="2" x14ac:dyDescent="0.15">
      <c r="A14">
        <v>99010005</v>
      </c>
      <c r="B14" t="s">
        <v>47</v>
      </c>
      <c r="C14" t="s">
        <v>40</v>
      </c>
      <c r="D14" t="s">
        <v>44</v>
      </c>
      <c r="E14">
        <v>66</v>
      </c>
      <c r="F14">
        <v>68</v>
      </c>
      <c r="G14">
        <v>78</v>
      </c>
      <c r="H14" s="5">
        <v>70.666666666666671</v>
      </c>
      <c r="I14">
        <v>15</v>
      </c>
    </row>
    <row r="15" spans="1:9" outlineLevel="2" x14ac:dyDescent="0.15">
      <c r="A15">
        <v>99010006</v>
      </c>
      <c r="B15" t="s">
        <v>48</v>
      </c>
      <c r="C15" t="s">
        <v>40</v>
      </c>
      <c r="D15" t="s">
        <v>44</v>
      </c>
      <c r="E15">
        <v>73</v>
      </c>
      <c r="F15">
        <v>90</v>
      </c>
      <c r="G15">
        <v>80</v>
      </c>
      <c r="H15" s="5">
        <v>81</v>
      </c>
      <c r="I15">
        <v>6</v>
      </c>
    </row>
    <row r="16" spans="1:9" outlineLevel="2" x14ac:dyDescent="0.15">
      <c r="A16">
        <v>99010009</v>
      </c>
      <c r="B16" t="s">
        <v>51</v>
      </c>
      <c r="C16" t="s">
        <v>40</v>
      </c>
      <c r="D16" t="s">
        <v>44</v>
      </c>
      <c r="E16">
        <v>63</v>
      </c>
      <c r="F16">
        <v>99</v>
      </c>
      <c r="G16">
        <v>74</v>
      </c>
      <c r="H16" s="5">
        <v>78.666666666666671</v>
      </c>
      <c r="I16">
        <v>9</v>
      </c>
    </row>
    <row r="17" spans="1:9" outlineLevel="2" x14ac:dyDescent="0.15">
      <c r="A17">
        <v>99010012</v>
      </c>
      <c r="B17" t="s">
        <v>54</v>
      </c>
      <c r="C17" t="s">
        <v>40</v>
      </c>
      <c r="D17" t="s">
        <v>44</v>
      </c>
      <c r="E17">
        <v>54</v>
      </c>
      <c r="F17">
        <v>65</v>
      </c>
      <c r="G17">
        <v>71</v>
      </c>
      <c r="H17" s="5">
        <v>63.333333333333336</v>
      </c>
      <c r="I17">
        <v>16</v>
      </c>
    </row>
    <row r="18" spans="1:9" outlineLevel="2" x14ac:dyDescent="0.15">
      <c r="A18">
        <v>99010016</v>
      </c>
      <c r="B18" t="s">
        <v>58</v>
      </c>
      <c r="C18" t="s">
        <v>43</v>
      </c>
      <c r="D18" t="s">
        <v>44</v>
      </c>
      <c r="E18">
        <v>94</v>
      </c>
      <c r="F18">
        <v>74</v>
      </c>
      <c r="G18">
        <v>63</v>
      </c>
      <c r="H18" s="5">
        <v>77</v>
      </c>
      <c r="I18">
        <v>12</v>
      </c>
    </row>
    <row r="19" spans="1:9" outlineLevel="1" x14ac:dyDescent="0.15">
      <c r="D19" s="6" t="s">
        <v>60</v>
      </c>
      <c r="H19" s="5">
        <f>SUBTOTAL(1,H13:H18)</f>
        <v>76</v>
      </c>
    </row>
    <row r="20" spans="1:9" x14ac:dyDescent="0.15">
      <c r="D20" s="6" t="s">
        <v>61</v>
      </c>
      <c r="H20" s="5">
        <f>SUBTOTAL(1,H2:H18)</f>
        <v>78.375</v>
      </c>
    </row>
  </sheetData>
  <sortState ref="A2:I17">
    <sortCondition ref="D4"/>
  </sortState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zhangyong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heyujuan</dc:creator>
  <cp:lastModifiedBy>wwjt</cp:lastModifiedBy>
  <dcterms:created xsi:type="dcterms:W3CDTF">2004-12-16T10:07:28Z</dcterms:created>
  <dcterms:modified xsi:type="dcterms:W3CDTF">2012-10-30T08:05:43Z</dcterms:modified>
</cp:coreProperties>
</file>
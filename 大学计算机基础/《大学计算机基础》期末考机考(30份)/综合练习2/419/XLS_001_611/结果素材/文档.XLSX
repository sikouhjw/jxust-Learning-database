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5" yWindow="-45" windowWidth="12510" windowHeight="3930"/>
  </bookViews>
  <sheets>
    <sheet name="经济增长指数对比表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C7" i="1" l="1"/>
  <c r="D7" i="1"/>
  <c r="E7" i="1"/>
  <c r="F7" i="1"/>
  <c r="G7" i="1"/>
  <c r="H7" i="1"/>
  <c r="I7" i="1"/>
  <c r="J7" i="1"/>
  <c r="K7" i="1"/>
  <c r="L7" i="1"/>
  <c r="B7" i="1"/>
  <c r="C6" i="1"/>
  <c r="D6" i="1"/>
  <c r="E6" i="1"/>
  <c r="F6" i="1"/>
  <c r="G6" i="1"/>
  <c r="H6" i="1"/>
  <c r="I6" i="1"/>
  <c r="J6" i="1"/>
  <c r="K6" i="1"/>
  <c r="L6" i="1"/>
  <c r="B6" i="1"/>
  <c r="M4" i="1"/>
  <c r="M5" i="1"/>
  <c r="M3" i="1"/>
</calcChain>
</file>

<file path=xl/sharedStrings.xml><?xml version="1.0" encoding="utf-8"?>
<sst xmlns="http://schemas.openxmlformats.org/spreadsheetml/2006/main" count="19" uniqueCount="19">
  <si>
    <r>
      <t>2</t>
    </r>
    <r>
      <rPr>
        <sz val="12"/>
        <rFont val="宋体"/>
        <charset val="134"/>
      </rPr>
      <t>月</t>
    </r>
    <phoneticPr fontId="1" type="noConversion"/>
  </si>
  <si>
    <r>
      <t>3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</si>
  <si>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4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</si>
  <si>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5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</si>
  <si>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6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</si>
  <si>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7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</si>
  <si>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8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</si>
  <si>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9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</si>
  <si>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10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</si>
  <si>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11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</si>
  <si>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12</t>
    </r>
    <r>
      <rPr>
        <sz val="12"/>
        <rFont val="宋体"/>
        <charset val="134"/>
      </rPr>
      <t>月</t>
    </r>
    <r>
      <rPr>
        <sz val="12"/>
        <rFont val="宋体"/>
        <charset val="134"/>
      </rPr>
      <t/>
    </r>
  </si>
  <si>
    <r>
      <t>04</t>
    </r>
    <r>
      <rPr>
        <sz val="12"/>
        <rFont val="宋体"/>
        <charset val="134"/>
      </rPr>
      <t>年</t>
    </r>
    <phoneticPr fontId="1" type="noConversion"/>
  </si>
  <si>
    <r>
      <t>05</t>
    </r>
    <r>
      <rPr>
        <sz val="12"/>
        <rFont val="宋体"/>
        <charset val="134"/>
      </rPr>
      <t>年</t>
    </r>
    <phoneticPr fontId="1" type="noConversion"/>
  </si>
  <si>
    <r>
      <t>某地区经济增长指数对比表</t>
    </r>
    <r>
      <rPr>
        <sz val="12"/>
        <rFont val="Times New Roman"/>
        <family val="1"/>
      </rPr>
      <t xml:space="preserve"> </t>
    </r>
    <phoneticPr fontId="1" type="noConversion"/>
  </si>
  <si>
    <t>月份</t>
    <phoneticPr fontId="1" type="noConversion"/>
  </si>
  <si>
    <t>全年平均</t>
    <phoneticPr fontId="1" type="noConversion"/>
  </si>
  <si>
    <r>
      <t>03</t>
    </r>
    <r>
      <rPr>
        <sz val="12"/>
        <rFont val="宋体"/>
        <charset val="134"/>
      </rPr>
      <t>年</t>
    </r>
    <phoneticPr fontId="1" type="noConversion"/>
  </si>
  <si>
    <t>最高值</t>
    <phoneticPr fontId="1" type="noConversion"/>
  </si>
  <si>
    <t>最低值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</si>
</sst>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7" formatCode="0.00_ "/>
  </numFmts>
  <fonts count="3" x14ac:knownFonts="1">
    <font>
      <sz val="12"/>
      <name val="宋体"/>
      <charset val="134"/>
    </font>
    <font>
      <sz val="9"/>
      <name val="宋体"/>
      <charset val="134"/>
    </font>
    <font>
      <sz val="12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20" fontId="0" fillId="0" borderId="0" xfId="0" applyNumberFormat="1"/>
    <xf numFmtId="177" fontId="0" fillId="0" borderId="0" xfId="0" applyNumberFormat="1"/>
    <xf numFmtId="177" fontId="2" fillId="0" borderId="0" xfId="0" applyNumberFormat="1" applyFont="1"/>
    <xf numFmtId="0" fontId="0" fillId="0" borderId="0" xfId="0" applyFont="1"/>
    <xf numFmtId="0" fontId="0" fillId="0" borderId="0" xfId="0" applyAlignment="1">
      <alignment horizontal="center"/>
    </xf>
  </cellXfs>
  <cellStyles count="1">
    <cellStyle name="常规" xfId="0" builtinId="0"/>
  </cellStyles>
  <dxfs count="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</dxf>
    <dxf>
      <numFmt numFmtId="177" formatCode="0.00_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Times New Roman"/>
        <scheme val="none"/>
      </font>
    </dxf>
    <dxf>
      <fill>
        <patternFill patternType="none">
          <fgColor indexed="64"/>
          <bgColor indexed="6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zh-CN" altLang="en-US"/>
              <a:t>经济增长指数对比图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经济增长指数对比表!$A$3</c:f>
              <c:strCache>
                <c:ptCount val="1"/>
                <c:pt idx="0">
                  <c:v>03年</c:v>
                </c:pt>
              </c:strCache>
            </c:strRef>
          </c:tx>
          <c:cat>
            <c:strRef>
              <c:f>经济增长指数对比表!$B$2:$L$2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经济增长指数对比表!$B$3:$L$3</c:f>
              <c:numCache>
                <c:formatCode>General</c:formatCode>
                <c:ptCount val="11"/>
                <c:pt idx="0">
                  <c:v>83.9</c:v>
                </c:pt>
                <c:pt idx="1">
                  <c:v>102.4</c:v>
                </c:pt>
                <c:pt idx="2">
                  <c:v>113.5</c:v>
                </c:pt>
                <c:pt idx="3">
                  <c:v>119.7</c:v>
                </c:pt>
                <c:pt idx="4">
                  <c:v>120.1</c:v>
                </c:pt>
                <c:pt idx="5">
                  <c:v>138.69999999999999</c:v>
                </c:pt>
                <c:pt idx="6">
                  <c:v>137.9</c:v>
                </c:pt>
                <c:pt idx="7">
                  <c:v>134.69999999999999</c:v>
                </c:pt>
                <c:pt idx="8">
                  <c:v>140.5</c:v>
                </c:pt>
                <c:pt idx="9">
                  <c:v>159.4</c:v>
                </c:pt>
                <c:pt idx="10">
                  <c:v>168.7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经济增长指数对比表!$A$4</c:f>
              <c:strCache>
                <c:ptCount val="1"/>
                <c:pt idx="0">
                  <c:v>04年</c:v>
                </c:pt>
              </c:strCache>
            </c:strRef>
          </c:tx>
          <c:cat>
            <c:strRef>
              <c:f>经济增长指数对比表!$B$2:$L$2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经济增长指数对比表!$B$4:$L$4</c:f>
              <c:numCache>
                <c:formatCode>0.00_ </c:formatCode>
                <c:ptCount val="11"/>
                <c:pt idx="0">
                  <c:v>101</c:v>
                </c:pt>
                <c:pt idx="1">
                  <c:v>122.7</c:v>
                </c:pt>
                <c:pt idx="2">
                  <c:v>139.12</c:v>
                </c:pt>
                <c:pt idx="3">
                  <c:v>141.5</c:v>
                </c:pt>
                <c:pt idx="4">
                  <c:v>130.6</c:v>
                </c:pt>
                <c:pt idx="5">
                  <c:v>153.80000000000001</c:v>
                </c:pt>
                <c:pt idx="6">
                  <c:v>139.13999999999999</c:v>
                </c:pt>
                <c:pt idx="7">
                  <c:v>148.77000000000001</c:v>
                </c:pt>
                <c:pt idx="8">
                  <c:v>160.33000000000001</c:v>
                </c:pt>
                <c:pt idx="9">
                  <c:v>166.42</c:v>
                </c:pt>
                <c:pt idx="10">
                  <c:v>175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经济增长指数对比表!$A$5</c:f>
              <c:strCache>
                <c:ptCount val="1"/>
                <c:pt idx="0">
                  <c:v>05年</c:v>
                </c:pt>
              </c:strCache>
            </c:strRef>
          </c:tx>
          <c:cat>
            <c:strRef>
              <c:f>经济增长指数对比表!$B$2:$L$2</c:f>
              <c:strCache>
                <c:ptCount val="11"/>
                <c:pt idx="0">
                  <c:v>2月</c:v>
                </c:pt>
                <c:pt idx="1">
                  <c:v>3月</c:v>
                </c:pt>
                <c:pt idx="2">
                  <c:v>4月</c:v>
                </c:pt>
                <c:pt idx="3">
                  <c:v>5月</c:v>
                </c:pt>
                <c:pt idx="4">
                  <c:v>6月</c:v>
                </c:pt>
                <c:pt idx="5">
                  <c:v>7月</c:v>
                </c:pt>
                <c:pt idx="6">
                  <c:v>8月</c:v>
                </c:pt>
                <c:pt idx="7">
                  <c:v>9月</c:v>
                </c:pt>
                <c:pt idx="8">
                  <c:v>10月</c:v>
                </c:pt>
                <c:pt idx="9">
                  <c:v>11月</c:v>
                </c:pt>
                <c:pt idx="10">
                  <c:v>12月</c:v>
                </c:pt>
              </c:strCache>
            </c:strRef>
          </c:cat>
          <c:val>
            <c:numRef>
              <c:f>经济增长指数对比表!$B$5:$L$5</c:f>
              <c:numCache>
                <c:formatCode>0.00_ </c:formatCode>
                <c:ptCount val="11"/>
                <c:pt idx="0">
                  <c:v>146.96</c:v>
                </c:pt>
                <c:pt idx="1">
                  <c:v>165.6</c:v>
                </c:pt>
                <c:pt idx="2">
                  <c:v>179.08</c:v>
                </c:pt>
                <c:pt idx="3">
                  <c:v>179.06</c:v>
                </c:pt>
                <c:pt idx="4">
                  <c:v>190.18</c:v>
                </c:pt>
                <c:pt idx="5">
                  <c:v>188.5</c:v>
                </c:pt>
                <c:pt idx="6">
                  <c:v>195.78</c:v>
                </c:pt>
                <c:pt idx="7">
                  <c:v>191.3</c:v>
                </c:pt>
                <c:pt idx="8">
                  <c:v>193.27</c:v>
                </c:pt>
                <c:pt idx="9">
                  <c:v>197.98</c:v>
                </c:pt>
                <c:pt idx="10">
                  <c:v>201.22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0648576"/>
        <c:axId val="30658560"/>
      </c:lineChart>
      <c:catAx>
        <c:axId val="30648576"/>
        <c:scaling>
          <c:orientation val="minMax"/>
        </c:scaling>
        <c:delete val="0"/>
        <c:axPos val="b"/>
        <c:majorTickMark val="out"/>
        <c:minorTickMark val="none"/>
        <c:tickLblPos val="nextTo"/>
        <c:crossAx val="30658560"/>
        <c:crossesAt val="50"/>
        <c:auto val="1"/>
        <c:lblAlgn val="ctr"/>
        <c:lblOffset val="100"/>
        <c:noMultiLvlLbl val="0"/>
      </c:catAx>
      <c:valAx>
        <c:axId val="30658560"/>
        <c:scaling>
          <c:orientation val="minMax"/>
          <c:max val="210"/>
          <c:min val="5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0648576"/>
        <c:crosses val="autoZero"/>
        <c:crossBetween val="between"/>
        <c:majorUnit val="20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28574</xdr:colOff>
      <xdr:row>7</xdr:row>
      <xdr:rowOff>33337</xdr:rowOff>
    </xdr:from>
    <xdr:to>
      <xdr:col>11</xdr:col>
      <xdr:colOff>571499</xdr:colOff>
      <xdr:row>19</xdr:row>
      <xdr:rowOff>161925</xdr:rowOff>
    </xdr:to>
    <xdr:graphicFrame macro="">
      <xdr:nvGraphicFramePr>
        <xdr:cNvPr id="2" name="图表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表1" displayName="表1" ref="A2:M5" totalsRowShown="0" headerRowDxfId="0">
  <autoFilter ref="A2:M5"/>
  <tableColumns count="13">
    <tableColumn id="1" name="月份" dataDxfId="2"/>
    <tableColumn id="2" name="2月"/>
    <tableColumn id="3" name="3月"/>
    <tableColumn id="4" name="4月"/>
    <tableColumn id="5" name="5月"/>
    <tableColumn id="6" name="6月"/>
    <tableColumn id="7" name="7月"/>
    <tableColumn id="8" name="8月"/>
    <tableColumn id="9" name="9月"/>
    <tableColumn id="10" name="10月"/>
    <tableColumn id="11" name="11月"/>
    <tableColumn id="12" name="12月"/>
    <tableColumn id="13" name="全年平均" dataDxfId="1">
      <calculatedColumnFormula>AVERAGE(B3:L3)</calculatedColumnFormula>
    </tableColumn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8"/>
  <sheetViews>
    <sheetView tabSelected="1" workbookViewId="0">
      <selection activeCell="N8" sqref="N8"/>
    </sheetView>
  </sheetViews>
  <sheetFormatPr defaultRowHeight="14.25" x14ac:dyDescent="0.15"/>
  <cols>
    <col min="2" max="2" width="8.5" customWidth="1"/>
    <col min="3" max="3" width="8.625" customWidth="1"/>
    <col min="5" max="5" width="8" customWidth="1"/>
    <col min="6" max="6" width="8.625" customWidth="1"/>
    <col min="7" max="7" width="8.5" customWidth="1"/>
    <col min="8" max="8" width="8.875" customWidth="1"/>
    <col min="9" max="10" width="9.375" customWidth="1"/>
    <col min="11" max="11" width="8.125" customWidth="1"/>
    <col min="12" max="12" width="7.75" customWidth="1"/>
    <col min="13" max="13" width="10.75" customWidth="1"/>
  </cols>
  <sheetData>
    <row r="1" spans="1:13" ht="15.75" x14ac:dyDescent="0.25">
      <c r="A1" s="6" t="s">
        <v>13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5.75" x14ac:dyDescent="0.25">
      <c r="A2" t="s">
        <v>14</v>
      </c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  <c r="L2" s="1" t="s">
        <v>10</v>
      </c>
      <c r="M2" t="s">
        <v>15</v>
      </c>
    </row>
    <row r="3" spans="1:13" ht="15.75" x14ac:dyDescent="0.25">
      <c r="A3" s="1" t="s">
        <v>16</v>
      </c>
      <c r="B3">
        <v>83.9</v>
      </c>
      <c r="C3">
        <v>102.4</v>
      </c>
      <c r="D3">
        <v>113.5</v>
      </c>
      <c r="E3">
        <v>119.7</v>
      </c>
      <c r="F3">
        <v>120.1</v>
      </c>
      <c r="G3">
        <v>138.69999999999999</v>
      </c>
      <c r="H3">
        <v>137.9</v>
      </c>
      <c r="I3">
        <v>134.69999999999999</v>
      </c>
      <c r="J3">
        <v>140.5</v>
      </c>
      <c r="K3">
        <v>159.4</v>
      </c>
      <c r="L3">
        <v>168.7</v>
      </c>
      <c r="M3" s="3">
        <f>AVERAGE(B3:L3)</f>
        <v>129.04545454545453</v>
      </c>
    </row>
    <row r="4" spans="1:13" ht="15.75" x14ac:dyDescent="0.25">
      <c r="A4" s="1" t="s">
        <v>11</v>
      </c>
      <c r="B4" s="3">
        <v>101</v>
      </c>
      <c r="C4" s="3">
        <v>122.7</v>
      </c>
      <c r="D4" s="3">
        <v>139.12</v>
      </c>
      <c r="E4" s="3">
        <v>141.5</v>
      </c>
      <c r="F4" s="4">
        <v>130.6</v>
      </c>
      <c r="G4" s="3">
        <v>153.80000000000001</v>
      </c>
      <c r="H4" s="3">
        <v>139.13999999999999</v>
      </c>
      <c r="I4" s="3">
        <v>148.77000000000001</v>
      </c>
      <c r="J4" s="3">
        <v>160.33000000000001</v>
      </c>
      <c r="K4" s="3">
        <v>166.42</v>
      </c>
      <c r="L4" s="3">
        <v>175</v>
      </c>
      <c r="M4" s="3">
        <f t="shared" ref="M4:M5" si="0">AVERAGE(B4:L4)</f>
        <v>143.48909090909092</v>
      </c>
    </row>
    <row r="5" spans="1:13" ht="15.75" x14ac:dyDescent="0.25">
      <c r="A5" s="1" t="s">
        <v>12</v>
      </c>
      <c r="B5" s="3">
        <v>146.96</v>
      </c>
      <c r="C5" s="3">
        <v>165.6</v>
      </c>
      <c r="D5" s="3">
        <v>179.08</v>
      </c>
      <c r="E5" s="3">
        <v>179.06</v>
      </c>
      <c r="F5" s="3">
        <v>190.18</v>
      </c>
      <c r="G5" s="3">
        <v>188.5</v>
      </c>
      <c r="H5" s="3">
        <v>195.78</v>
      </c>
      <c r="I5" s="3">
        <v>191.3</v>
      </c>
      <c r="J5" s="3">
        <v>193.27</v>
      </c>
      <c r="K5" s="3">
        <v>197.98</v>
      </c>
      <c r="L5" s="3">
        <v>201.22</v>
      </c>
      <c r="M5" s="3">
        <f t="shared" si="0"/>
        <v>184.44818181818184</v>
      </c>
    </row>
    <row r="6" spans="1:13" x14ac:dyDescent="0.15">
      <c r="A6" s="5" t="s">
        <v>17</v>
      </c>
      <c r="B6" s="3">
        <f>MAX(B3:B5)</f>
        <v>146.96</v>
      </c>
      <c r="C6" s="3">
        <f t="shared" ref="C6:L6" si="1">MAX(C3:C5)</f>
        <v>165.6</v>
      </c>
      <c r="D6" s="3">
        <f t="shared" si="1"/>
        <v>179.08</v>
      </c>
      <c r="E6" s="3">
        <f t="shared" si="1"/>
        <v>179.06</v>
      </c>
      <c r="F6" s="3">
        <f t="shared" si="1"/>
        <v>190.18</v>
      </c>
      <c r="G6" s="3">
        <f t="shared" si="1"/>
        <v>188.5</v>
      </c>
      <c r="H6" s="3">
        <f t="shared" si="1"/>
        <v>195.78</v>
      </c>
      <c r="I6" s="3">
        <f t="shared" si="1"/>
        <v>191.3</v>
      </c>
      <c r="J6" s="3">
        <f t="shared" si="1"/>
        <v>193.27</v>
      </c>
      <c r="K6" s="3">
        <f t="shared" si="1"/>
        <v>197.98</v>
      </c>
      <c r="L6" s="3">
        <f t="shared" si="1"/>
        <v>201.22</v>
      </c>
    </row>
    <row r="7" spans="1:13" x14ac:dyDescent="0.15">
      <c r="A7" s="5" t="s">
        <v>18</v>
      </c>
      <c r="B7" s="3">
        <f>MIN(B3:B5)</f>
        <v>83.9</v>
      </c>
      <c r="C7" s="3">
        <f t="shared" ref="C7:L7" si="2">MIN(C3:C5)</f>
        <v>102.4</v>
      </c>
      <c r="D7" s="3">
        <f t="shared" si="2"/>
        <v>113.5</v>
      </c>
      <c r="E7" s="3">
        <f t="shared" si="2"/>
        <v>119.7</v>
      </c>
      <c r="F7" s="3">
        <f t="shared" si="2"/>
        <v>120.1</v>
      </c>
      <c r="G7" s="3">
        <f t="shared" si="2"/>
        <v>138.69999999999999</v>
      </c>
      <c r="H7" s="3">
        <f t="shared" si="2"/>
        <v>137.9</v>
      </c>
      <c r="I7" s="3">
        <f t="shared" si="2"/>
        <v>134.69999999999999</v>
      </c>
      <c r="J7" s="3">
        <f t="shared" si="2"/>
        <v>140.5</v>
      </c>
      <c r="K7" s="3">
        <f t="shared" si="2"/>
        <v>159.4</v>
      </c>
      <c r="L7" s="3">
        <f t="shared" si="2"/>
        <v>168.7</v>
      </c>
    </row>
    <row r="8" spans="1:13" x14ac:dyDescent="0.15">
      <c r="C8" s="2"/>
    </row>
  </sheetData>
  <mergeCells count="1">
    <mergeCell ref="A1:M1"/>
  </mergeCells>
  <phoneticPr fontId="1" type="noConversion"/>
  <conditionalFormatting sqref="B3:L5">
    <cfRule type="cellIs" dxfId="3" priority="1" stopIfTrue="1" operator="greaterThanOrEqual">
      <formula>130</formula>
    </cfRule>
  </conditionalFormatting>
  <pageMargins left="0.75" right="0.75" top="1" bottom="1" header="0.5" footer="0.5"/>
  <pageSetup paperSize="9" orientation="portrait" horizontalDpi="200" verticalDpi="200" r:id="rId1"/>
  <headerFooter alignWithMargins="0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25" x14ac:dyDescent="0.1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经济增长指数对比表</vt:lpstr>
      <vt:lpstr>Sheet2</vt:lpstr>
      <vt:lpstr>Sheet3</vt:lpstr>
    </vt:vector>
  </TitlesOfParts>
  <Company>ysy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ysy</dc:creator>
  <cp:lastModifiedBy>user</cp:lastModifiedBy>
  <dcterms:created xsi:type="dcterms:W3CDTF">2005-08-24T03:08:06Z</dcterms:created>
  <dcterms:modified xsi:type="dcterms:W3CDTF">2013-11-22T02:47:47Z</dcterms:modified>
</cp:coreProperties>
</file>
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景区客流量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4" i="2" l="1"/>
  <c r="G5" i="2"/>
  <c r="G6" i="2"/>
  <c r="G7" i="2"/>
  <c r="G3" i="2"/>
</calcChain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<sst xmlns="http://schemas.openxmlformats.org/spreadsheetml/2006/main" count="13" uniqueCount="13">
  <si>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</si>
  <si>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</si>
  <si>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</si>
  <si>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</si>
  <si>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</si>
  <si>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</si>
  <si>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</si>
  <si>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</si>
  <si>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</si>
  <si>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</si>
  <si>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</si>
  <si>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</si>
  <si>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平均客流量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</si>
</sst>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sz val="18"/>
      <color rgb="FF0070C0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景区客流量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2008年</c:v>
                </c:pt>
              </c:strCache>
            </c:strRef>
          </c:tx>
          <c:invertIfNegative val="0"/>
          <c:cat>
            <c:strRef>
              <c:f>Sheet1!$A$3:$A$7</c:f>
              <c:strCache>
                <c:ptCount val="5"/>
                <c:pt idx="0">
                  <c:v>中山陵</c:v>
                </c:pt>
                <c:pt idx="1">
                  <c:v>玄武湖</c:v>
                </c:pt>
                <c:pt idx="2">
                  <c:v>莫愁湖</c:v>
                </c:pt>
                <c:pt idx="3">
                  <c:v>夫子庙</c:v>
                </c:pt>
                <c:pt idx="4">
                  <c:v>栖霞山</c:v>
                </c:pt>
              </c:strCache>
            </c:strRef>
          </c:cat>
          <c:val>
            <c:numRef>
              <c:f>Sheet1!$E$3:$E$7</c:f>
              <c:numCache>
                <c:formatCode>General</c:formatCode>
                <c:ptCount val="5"/>
                <c:pt idx="0">
                  <c:v>220</c:v>
                </c:pt>
                <c:pt idx="1">
                  <c:v>166</c:v>
                </c:pt>
                <c:pt idx="2">
                  <c:v>88</c:v>
                </c:pt>
                <c:pt idx="3">
                  <c:v>253</c:v>
                </c:pt>
                <c:pt idx="4">
                  <c:v>51</c:v>
                </c:pt>
              </c:numCache>
            </c:numRef>
          </c:val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2009年</c:v>
                </c:pt>
              </c:strCache>
            </c:strRef>
          </c:tx>
          <c:invertIfNegative val="0"/>
          <c:cat>
            <c:strRef>
              <c:f>Sheet1!$A$3:$A$7</c:f>
              <c:strCache>
                <c:ptCount val="5"/>
                <c:pt idx="0">
                  <c:v>中山陵</c:v>
                </c:pt>
                <c:pt idx="1">
                  <c:v>玄武湖</c:v>
                </c:pt>
                <c:pt idx="2">
                  <c:v>莫愁湖</c:v>
                </c:pt>
                <c:pt idx="3">
                  <c:v>夫子庙</c:v>
                </c:pt>
                <c:pt idx="4">
                  <c:v>栖霞山</c:v>
                </c:pt>
              </c:strCache>
            </c:strRef>
          </c:cat>
          <c:val>
            <c:numRef>
              <c:f>Sheet1!$F$3:$F$7</c:f>
              <c:numCache>
                <c:formatCode>General</c:formatCode>
                <c:ptCount val="5"/>
                <c:pt idx="0">
                  <c:v>218</c:v>
                </c:pt>
                <c:pt idx="1">
                  <c:v>154</c:v>
                </c:pt>
                <c:pt idx="2">
                  <c:v>91</c:v>
                </c:pt>
                <c:pt idx="3">
                  <c:v>265</c:v>
                </c:pt>
                <c:pt idx="4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68160"/>
        <c:axId val="233075840"/>
      </c:barChart>
      <c:catAx>
        <c:axId val="80668160"/>
        <c:scaling>
          <c:orientation val="minMax"/>
        </c:scaling>
        <c:delete val="0"/>
        <c:axPos val="b"/>
        <c:majorTickMark val="none"/>
        <c:minorTickMark val="none"/>
        <c:tickLblPos val="nextTo"/>
        <c:crossAx val="233075840"/>
        <c:crosses val="autoZero"/>
        <c:auto val="1"/>
        <c:lblAlgn val="ctr"/>
        <c:lblOffset val="100"/>
        <c:noMultiLvlLbl val="0"/>
      </c:catAx>
      <c:valAx>
        <c:axId val="2330758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0668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</xdr:colOff>
      <xdr:row>7</xdr:row>
      <xdr:rowOff>47625</xdr:rowOff>
    </xdr:from>
    <xdr:to>
      <xdr:col>6</xdr:col>
      <xdr:colOff>500062</xdr:colOff>
      <xdr:row>22</xdr:row>
      <xdr:rowOff>66675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8"/>
  <sheetViews>
    <sheetView tabSelected="1" workbookViewId="0">
      <selection activeCell="H24" sqref="H24"/>
    </sheetView>
  </sheetViews>
  <sheetFormatPr defaultRowHeight="14.25" x14ac:dyDescent="0.15"/>
  <cols>
    <col min="7" max="7" width="10.75" customWidth="1"/>
  </cols>
  <sheetData>
    <row r="1" spans="1:7" ht="23.25" thickBot="1" x14ac:dyDescent="0.3">
      <c r="A1" s="1" t="s">
        <v>11</v>
      </c>
      <c r="B1" s="1"/>
      <c r="C1" s="1"/>
      <c r="D1" s="1"/>
      <c r="E1" s="1"/>
      <c r="F1" s="1"/>
      <c r="G1" s="1"/>
    </row>
    <row r="2" spans="1:7" ht="15" thickTop="1" x14ac:dyDescent="0.15">
      <c r="A2" s="2" t="s">
        <v>9</v>
      </c>
      <c r="B2" s="3" t="s">
        <v>10</v>
      </c>
      <c r="C2" s="3" t="s">
        <v>5</v>
      </c>
      <c r="D2" s="3" t="s">
        <v>6</v>
      </c>
      <c r="E2" s="3" t="s">
        <v>7</v>
      </c>
      <c r="F2" s="3" t="s">
        <v>8</v>
      </c>
      <c r="G2" s="4" t="s">
        <v>12</v>
      </c>
    </row>
    <row r="3" spans="1:7" x14ac:dyDescent="0.15">
      <c r="A3" s="5" t="s">
        <v>0</v>
      </c>
      <c r="B3" s="6">
        <v>177</v>
      </c>
      <c r="C3" s="6">
        <v>181</v>
      </c>
      <c r="D3" s="6">
        <v>211</v>
      </c>
      <c r="E3" s="6">
        <v>220</v>
      </c>
      <c r="F3" s="6">
        <v>218</v>
      </c>
      <c r="G3" s="7">
        <f>(B3+C3+D3+E3+F3)/5</f>
        <v>201.4</v>
      </c>
    </row>
    <row r="4" spans="1:7" x14ac:dyDescent="0.15">
      <c r="A4" s="5" t="s">
        <v>1</v>
      </c>
      <c r="B4" s="6">
        <v>132</v>
      </c>
      <c r="C4" s="6">
        <v>145</v>
      </c>
      <c r="D4" s="6">
        <v>138</v>
      </c>
      <c r="E4" s="6">
        <v>166</v>
      </c>
      <c r="F4" s="6">
        <v>154</v>
      </c>
      <c r="G4" s="7">
        <f t="shared" ref="G4:G7" si="0">(B4+C4+D4+E4+F4)/5</f>
        <v>147</v>
      </c>
    </row>
    <row r="5" spans="1:7" x14ac:dyDescent="0.15">
      <c r="A5" s="5" t="s">
        <v>2</v>
      </c>
      <c r="B5" s="6">
        <v>59</v>
      </c>
      <c r="C5" s="6">
        <v>67</v>
      </c>
      <c r="D5" s="6">
        <v>56</v>
      </c>
      <c r="E5" s="6">
        <v>88</v>
      </c>
      <c r="F5" s="6">
        <v>91</v>
      </c>
      <c r="G5" s="7">
        <f t="shared" si="0"/>
        <v>72.2</v>
      </c>
    </row>
    <row r="6" spans="1:7" x14ac:dyDescent="0.15">
      <c r="A6" s="5" t="s">
        <v>3</v>
      </c>
      <c r="B6" s="6">
        <v>215</v>
      </c>
      <c r="C6" s="6">
        <v>212</v>
      </c>
      <c r="D6" s="6">
        <v>233</v>
      </c>
      <c r="E6" s="6">
        <v>253</v>
      </c>
      <c r="F6" s="6">
        <v>265</v>
      </c>
      <c r="G6" s="7">
        <f t="shared" si="0"/>
        <v>235.6</v>
      </c>
    </row>
    <row r="7" spans="1:7" ht="15" thickBot="1" x14ac:dyDescent="0.2">
      <c r="A7" s="8" t="s">
        <v>4</v>
      </c>
      <c r="B7" s="9">
        <v>47</v>
      </c>
      <c r="C7" s="9">
        <v>41</v>
      </c>
      <c r="D7" s="9">
        <v>45</v>
      </c>
      <c r="E7" s="9">
        <v>51</v>
      </c>
      <c r="F7" s="9">
        <v>49</v>
      </c>
      <c r="G7" s="10">
        <f t="shared" si="0"/>
        <v>46.6</v>
      </c>
    </row>
    <row r="8" spans="1:7" ht="15" thickTop="1" x14ac:dyDescent="0.15"/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景区客流量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2012-11-15T07:29:01Z</dcterms:modified>
</cp:coreProperties>
</file>
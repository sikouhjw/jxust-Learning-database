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5" i="1" l="1"/>
  <c r="I6" i="1"/>
  <c r="I7" i="1"/>
  <c r="I3" i="1"/>
  <c r="I4" i="1"/>
  <c r="I8" i="1"/>
  <c r="I9" i="1"/>
  <c r="I2" i="1"/>
  <c r="H3" i="1"/>
  <c r="H4" i="1"/>
  <c r="H5" i="1"/>
  <c r="H6" i="1"/>
  <c r="H7" i="1"/>
  <c r="H8" i="1"/>
  <c r="H9" i="1"/>
  <c r="H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<sst xmlns="http://schemas.openxmlformats.org/spreadsheetml/2006/main" count="25" uniqueCount="19">
  <si>
    <t>考核等级</t>
    <phoneticPr fontId="1" type="noConversion"/>
  </si>
  <si>
    <t>张艳丽</t>
    <phoneticPr fontId="1" type="noConversion"/>
  </si>
  <si>
    <t>二月份销售额（元）</t>
    <phoneticPr fontId="1" type="noConversion"/>
  </si>
  <si>
    <t>第一季度销售额（元）</t>
  </si>
  <si>
    <t>姓名</t>
    <phoneticPr fontId="1" type="noConversion"/>
  </si>
  <si>
    <t>部门</t>
    <phoneticPr fontId="1" type="noConversion"/>
  </si>
  <si>
    <t>一月份销售额（元）</t>
    <phoneticPr fontId="1" type="noConversion"/>
  </si>
  <si>
    <t>三月份销售额（元）</t>
    <phoneticPr fontId="1" type="noConversion"/>
  </si>
  <si>
    <t>基本工资（元）</t>
    <phoneticPr fontId="1" type="noConversion"/>
  </si>
  <si>
    <t>实发工资</t>
    <phoneticPr fontId="1" type="noConversion"/>
  </si>
  <si>
    <t>王硕</t>
    <phoneticPr fontId="1" type="noConversion"/>
  </si>
  <si>
    <t>销售一部</t>
    <phoneticPr fontId="1" type="noConversion"/>
  </si>
  <si>
    <t>李雪</t>
    <phoneticPr fontId="1" type="noConversion"/>
  </si>
  <si>
    <t>销售二部</t>
    <phoneticPr fontId="1" type="noConversion"/>
  </si>
  <si>
    <t>王建设</t>
    <phoneticPr fontId="1" type="noConversion"/>
  </si>
  <si>
    <t>刘刚</t>
    <phoneticPr fontId="1" type="noConversion"/>
  </si>
  <si>
    <t>冯丹</t>
    <phoneticPr fontId="1" type="noConversion"/>
  </si>
  <si>
    <t>史密斯</t>
    <phoneticPr fontId="1" type="noConversion"/>
  </si>
  <si>
    <t>奥尼尔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</si>
</sst>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0.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</dxf>
    <dxf>
      <font>
        <b val="0"/>
        <i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实发工资统计图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Sheet1!$A$2:$A$9</c:f>
              <c:strCache>
                <c:ptCount val="8"/>
                <c:pt idx="0">
                  <c:v>王硕</c:v>
                </c:pt>
                <c:pt idx="1">
                  <c:v>李雪</c:v>
                </c:pt>
                <c:pt idx="2">
                  <c:v>王建设</c:v>
                </c:pt>
                <c:pt idx="3">
                  <c:v>张艳丽</c:v>
                </c:pt>
                <c:pt idx="4">
                  <c:v>刘刚</c:v>
                </c:pt>
                <c:pt idx="5">
                  <c:v>冯丹</c:v>
                </c:pt>
                <c:pt idx="6">
                  <c:v>史密斯</c:v>
                </c:pt>
                <c:pt idx="7">
                  <c:v>奥尼尔</c:v>
                </c:pt>
              </c:strCache>
            </c:strRef>
          </c:cat>
          <c:val>
            <c:numRef>
              <c:f>Sheet1!$H$2:$H$9</c:f>
              <c:numCache>
                <c:formatCode>0.00_ </c:formatCode>
                <c:ptCount val="8"/>
                <c:pt idx="0">
                  <c:v>15000</c:v>
                </c:pt>
                <c:pt idx="1">
                  <c:v>15500</c:v>
                </c:pt>
                <c:pt idx="2">
                  <c:v>22500</c:v>
                </c:pt>
                <c:pt idx="3">
                  <c:v>16700</c:v>
                </c:pt>
                <c:pt idx="4">
                  <c:v>17000</c:v>
                </c:pt>
                <c:pt idx="5">
                  <c:v>22800</c:v>
                </c:pt>
                <c:pt idx="6">
                  <c:v>13300</c:v>
                </c:pt>
                <c:pt idx="7">
                  <c:v>14300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5359744"/>
        <c:axId val="75361280"/>
        <c:axId val="0"/>
      </c:bar3DChart>
      <c:catAx>
        <c:axId val="7535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75361280"/>
        <c:crosses val="autoZero"/>
        <c:auto val="1"/>
        <c:lblAlgn val="ctr"/>
        <c:lblOffset val="100"/>
        <c:noMultiLvlLbl val="0"/>
      </c:catAx>
      <c:valAx>
        <c:axId val="7536128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7535974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10</xdr:row>
      <xdr:rowOff>142875</xdr:rowOff>
    </xdr:from>
    <xdr:to>
      <xdr:col>8</xdr:col>
      <xdr:colOff>276225</xdr:colOff>
      <xdr:row>26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0"/>
  <sheetViews>
    <sheetView tabSelected="1" topLeftCell="A10" workbookViewId="0">
      <selection sqref="A1:I9"/>
    </sheetView>
  </sheetViews>
  <sheetFormatPr defaultRowHeight="14.25" x14ac:dyDescent="0.15"/>
  <cols>
    <col min="3" max="5" width="20.5" bestFit="1" customWidth="1"/>
    <col min="6" max="6" width="16.125" bestFit="1" customWidth="1"/>
    <col min="8" max="8" width="10.5" bestFit="1" customWidth="1"/>
    <col min="9" max="9" width="7.75" customWidth="1"/>
  </cols>
  <sheetData>
    <row r="1" spans="1:9" ht="15" thickTop="1" x14ac:dyDescent="0.15">
      <c r="A1" s="1" t="s">
        <v>4</v>
      </c>
      <c r="B1" s="2" t="s">
        <v>5</v>
      </c>
      <c r="C1" s="2" t="s">
        <v>6</v>
      </c>
      <c r="D1" s="2" t="s">
        <v>2</v>
      </c>
      <c r="E1" s="2" t="s">
        <v>7</v>
      </c>
      <c r="F1" s="3" t="s">
        <v>3</v>
      </c>
      <c r="G1" s="2" t="s">
        <v>8</v>
      </c>
      <c r="H1" s="2" t="s">
        <v>9</v>
      </c>
      <c r="I1" s="4" t="s">
        <v>0</v>
      </c>
    </row>
    <row r="2" spans="1:9" x14ac:dyDescent="0.15">
      <c r="A2" s="5" t="s">
        <v>10</v>
      </c>
      <c r="B2" s="6" t="s">
        <v>11</v>
      </c>
      <c r="C2" s="6">
        <v>300000</v>
      </c>
      <c r="D2" s="6">
        <v>450000</v>
      </c>
      <c r="E2" s="6">
        <v>500000</v>
      </c>
      <c r="F2" s="6">
        <f>SUM(C2:E2)</f>
        <v>1250000</v>
      </c>
      <c r="G2" s="6">
        <v>2500</v>
      </c>
      <c r="H2" s="7">
        <f>F2*1%+G2</f>
        <v>15000</v>
      </c>
      <c r="I2" s="8" t="str">
        <f>IF(F2&gt;1400000,"优秀","一般")</f>
        <v>一般</v>
      </c>
    </row>
    <row r="3" spans="1:9" x14ac:dyDescent="0.15">
      <c r="A3" s="5" t="s">
        <v>12</v>
      </c>
      <c r="B3" s="6" t="s">
        <v>13</v>
      </c>
      <c r="C3" s="6">
        <v>500000</v>
      </c>
      <c r="D3" s="6">
        <v>350000</v>
      </c>
      <c r="E3" s="6">
        <v>400000</v>
      </c>
      <c r="F3" s="6">
        <f t="shared" ref="F3:F9" si="0">SUM(C3:E3)</f>
        <v>1250000</v>
      </c>
      <c r="G3" s="6">
        <v>3000</v>
      </c>
      <c r="H3" s="7">
        <f t="shared" ref="H3:H9" si="1">F3*1%+G3</f>
        <v>15500</v>
      </c>
      <c r="I3" s="8" t="str">
        <f t="shared" ref="I3:I9" si="2">IF(F3&gt;1400000,"优秀","一般")</f>
        <v>一般</v>
      </c>
    </row>
    <row r="4" spans="1:9" x14ac:dyDescent="0.15">
      <c r="A4" s="5" t="s">
        <v>14</v>
      </c>
      <c r="B4" s="6" t="s">
        <v>13</v>
      </c>
      <c r="C4" s="6">
        <v>600000</v>
      </c>
      <c r="D4" s="6">
        <v>650000</v>
      </c>
      <c r="E4" s="6">
        <v>700000</v>
      </c>
      <c r="F4" s="6">
        <f t="shared" si="0"/>
        <v>1950000</v>
      </c>
      <c r="G4" s="6">
        <v>3000</v>
      </c>
      <c r="H4" s="7">
        <f t="shared" si="1"/>
        <v>22500</v>
      </c>
      <c r="I4" s="8" t="str">
        <f t="shared" si="2"/>
        <v>优秀</v>
      </c>
    </row>
    <row r="5" spans="1:9" x14ac:dyDescent="0.15">
      <c r="A5" s="5" t="s">
        <v>1</v>
      </c>
      <c r="B5" s="6" t="s">
        <v>11</v>
      </c>
      <c r="C5" s="6">
        <v>420000</v>
      </c>
      <c r="D5" s="6">
        <v>470000</v>
      </c>
      <c r="E5" s="6">
        <v>530000</v>
      </c>
      <c r="F5" s="6">
        <f t="shared" si="0"/>
        <v>1420000</v>
      </c>
      <c r="G5" s="6">
        <v>2500</v>
      </c>
      <c r="H5" s="7">
        <f t="shared" si="1"/>
        <v>16700</v>
      </c>
      <c r="I5" s="8" t="str">
        <f t="shared" si="2"/>
        <v>优秀</v>
      </c>
    </row>
    <row r="6" spans="1:9" x14ac:dyDescent="0.15">
      <c r="A6" s="5" t="s">
        <v>15</v>
      </c>
      <c r="B6" s="6" t="s">
        <v>13</v>
      </c>
      <c r="C6" s="6">
        <v>370000</v>
      </c>
      <c r="D6" s="6">
        <v>350000</v>
      </c>
      <c r="E6" s="6">
        <v>680000</v>
      </c>
      <c r="F6" s="6">
        <f t="shared" si="0"/>
        <v>1400000</v>
      </c>
      <c r="G6" s="6">
        <v>3000</v>
      </c>
      <c r="H6" s="7">
        <f t="shared" si="1"/>
        <v>17000</v>
      </c>
      <c r="I6" s="8" t="str">
        <f t="shared" si="2"/>
        <v>一般</v>
      </c>
    </row>
    <row r="7" spans="1:9" x14ac:dyDescent="0.15">
      <c r="A7" s="5" t="s">
        <v>16</v>
      </c>
      <c r="B7" s="6" t="s">
        <v>11</v>
      </c>
      <c r="C7" s="6">
        <v>650000</v>
      </c>
      <c r="D7" s="6">
        <v>580000</v>
      </c>
      <c r="E7" s="6">
        <v>800000</v>
      </c>
      <c r="F7" s="6">
        <f t="shared" si="0"/>
        <v>2030000</v>
      </c>
      <c r="G7" s="6">
        <v>2500</v>
      </c>
      <c r="H7" s="7">
        <f t="shared" si="1"/>
        <v>22800</v>
      </c>
      <c r="I7" s="8" t="str">
        <f t="shared" si="2"/>
        <v>优秀</v>
      </c>
    </row>
    <row r="8" spans="1:9" x14ac:dyDescent="0.15">
      <c r="A8" s="5" t="s">
        <v>17</v>
      </c>
      <c r="B8" s="6" t="s">
        <v>11</v>
      </c>
      <c r="C8" s="6">
        <v>220000</v>
      </c>
      <c r="D8" s="6">
        <v>400000</v>
      </c>
      <c r="E8" s="6">
        <v>460000</v>
      </c>
      <c r="F8" s="6">
        <f t="shared" si="0"/>
        <v>1080000</v>
      </c>
      <c r="G8" s="6">
        <v>2500</v>
      </c>
      <c r="H8" s="7">
        <f t="shared" si="1"/>
        <v>13300</v>
      </c>
      <c r="I8" s="8" t="str">
        <f t="shared" si="2"/>
        <v>一般</v>
      </c>
    </row>
    <row r="9" spans="1:9" ht="15" thickBot="1" x14ac:dyDescent="0.2">
      <c r="A9" s="9" t="s">
        <v>18</v>
      </c>
      <c r="B9" s="10" t="s">
        <v>13</v>
      </c>
      <c r="C9" s="10">
        <v>250000</v>
      </c>
      <c r="D9" s="10">
        <v>420000</v>
      </c>
      <c r="E9" s="10">
        <v>460000</v>
      </c>
      <c r="F9" s="10">
        <f t="shared" si="0"/>
        <v>1130000</v>
      </c>
      <c r="G9" s="10">
        <v>3000</v>
      </c>
      <c r="H9" s="11">
        <f t="shared" si="1"/>
        <v>14300</v>
      </c>
      <c r="I9" s="12" t="str">
        <f t="shared" si="2"/>
        <v>一般</v>
      </c>
    </row>
    <row r="10" spans="1:9" ht="15" thickTop="1" x14ac:dyDescent="0.15"/>
  </sheetData>
  <phoneticPr fontId="1" type="noConversion"/>
  <conditionalFormatting sqref="I2:I9">
    <cfRule type="containsText" dxfId="1" priority="3" operator="containsText" text="一般">
      <formula>NOT(ISERROR(SEARCH("一般",I2)))</formula>
    </cfRule>
  </conditionalFormatting>
  <conditionalFormatting sqref="I4:I7">
    <cfRule type="containsText" dxfId="0" priority="1" operator="containsText" text="优秀">
      <formula>NOT(ISERROR(SEARCH("优秀",I4)))</formula>
    </cfRule>
  </conditionalFormatting>
  <pageMargins left="0.75" right="0.75" top="1" bottom="1" header="0.5" footer="0.5"/>
  <pageSetup paperSize="9" orientation="portrait" horizontalDpi="96" verticalDpi="96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2013-01-15T03:55:06Z</dcterms:modified>
</cp:coreProperties>
</file>
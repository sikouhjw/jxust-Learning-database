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Sheet2!$A$2:$F$18</definedName>
  </definedNames>
  <calcPr calcId="144525"/>
</workbook>
</file>

<file path=xl/calcChain.xml><?xml version="1.0" encoding="utf-8"?>
<calcChain xmlns="http://schemas.openxmlformats.org/spreadsheetml/2006/main">
  <c r="F24" i="3" l="1"/>
  <c r="E24" i="3"/>
  <c r="F22" i="3"/>
  <c r="E22" i="3"/>
  <c r="F18" i="3"/>
  <c r="E18" i="3"/>
  <c r="F15" i="3"/>
  <c r="E15" i="3"/>
  <c r="F10" i="3"/>
  <c r="E10" i="3"/>
  <c r="F5" i="3"/>
  <c r="F25" i="3" s="1"/>
  <c r="E5" i="3"/>
  <c r="E25" i="3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8" i="1"/>
  <c r="E25" i="1" s="1"/>
  <c r="F8" i="1" l="1"/>
  <c r="F25" i="1" s="1"/>
</calcChain>
</file>

<file path=xl/sharedStrings.xml><?xml version="1.0" encoding="utf-8"?>
<sst xmlns="http://schemas.openxmlformats.org/spreadsheetml/2006/main" count="31" uniqueCount="24">
  <si>
    <t>门牌号</t>
    <phoneticPr fontId="1" type="noConversion"/>
  </si>
  <si>
    <t>家庭人口</t>
    <phoneticPr fontId="1" type="noConversion"/>
  </si>
  <si>
    <t>水上月字数</t>
    <phoneticPr fontId="1" type="noConversion"/>
  </si>
  <si>
    <t>水本月字数</t>
    <phoneticPr fontId="1" type="noConversion"/>
  </si>
  <si>
    <t>用水量（吨）</t>
    <phoneticPr fontId="1" type="noConversion"/>
  </si>
  <si>
    <t>本月水费（元）</t>
    <phoneticPr fontId="1" type="noConversion"/>
  </si>
  <si>
    <r>
      <t>水费（元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吨）</t>
    </r>
    <phoneticPr fontId="1" type="noConversion"/>
  </si>
  <si>
    <t>生活用水收费标准</t>
    <phoneticPr fontId="1" type="noConversion"/>
  </si>
  <si>
    <t>平均</t>
    <phoneticPr fontId="1" type="noConversion"/>
  </si>
  <si>
    <t>天际花园2006年5月水费表</t>
    <phoneticPr fontId="1" type="noConversion"/>
  </si>
  <si>
    <t>天际花园2006年5月水费表</t>
  </si>
  <si>
    <t>门牌号</t>
  </si>
  <si>
    <t>家庭人口</t>
  </si>
  <si>
    <t>水上月字数</t>
  </si>
  <si>
    <t>水本月字数</t>
  </si>
  <si>
    <t>用水量（吨）</t>
  </si>
  <si>
    <t>本月水费（元）</t>
  </si>
  <si>
    <t>1 平均值</t>
  </si>
  <si>
    <t>2 平均值</t>
  </si>
  <si>
    <t>3 平均值</t>
  </si>
  <si>
    <t>4 平均值</t>
  </si>
  <si>
    <t>5 平均值</t>
  </si>
  <si>
    <t>6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</si>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</sst>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&quot;￥&quot;#,##0.00_);[Red]\(&quot;￥&quot;#,##0.00\)"/>
  </numFmts>
  <fonts count="8">
    <font>
      <sz val="12"/>
      <name val="宋体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b/>
      <sz val="18"/>
      <color rgb="FFFF0000"/>
      <name val="华文行楷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Continuous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7" fillId="0" borderId="0" xfId="0" applyNumberFormat="1" applyFont="1"/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A5" sqref="A5"/>
    </sheetView>
  </sheetViews>
  <sheetFormatPr defaultRowHeight="14.25"/>
  <cols>
    <col min="1" max="1" width="9.25" customWidth="1"/>
    <col min="2" max="2" width="8" bestFit="1" customWidth="1"/>
    <col min="3" max="3" width="13.625" bestFit="1" customWidth="1"/>
    <col min="4" max="4" width="9.625" bestFit="1" customWidth="1"/>
    <col min="5" max="5" width="11.375" bestFit="1" customWidth="1"/>
    <col min="6" max="6" width="13.125" bestFit="1" customWidth="1"/>
    <col min="7" max="7" width="13.875" bestFit="1" customWidth="1"/>
  </cols>
  <sheetData>
    <row r="1" spans="1:6">
      <c r="A1" t="s">
        <v>7</v>
      </c>
    </row>
    <row r="2" spans="1:6" ht="15.75">
      <c r="A2" s="1" t="s">
        <v>6</v>
      </c>
      <c r="B2" s="1"/>
      <c r="C2" s="1"/>
    </row>
    <row r="3" spans="1:6">
      <c r="A3" s="1">
        <v>1.3</v>
      </c>
      <c r="B3" s="1"/>
      <c r="C3" s="1"/>
    </row>
    <row r="6" spans="1:6" ht="24">
      <c r="A6" s="2" t="s">
        <v>9</v>
      </c>
      <c r="B6" s="2"/>
      <c r="C6" s="2"/>
      <c r="D6" s="2"/>
      <c r="E6" s="2"/>
      <c r="F6" s="2"/>
    </row>
    <row r="7" spans="1:6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>
      <c r="A8" s="3">
        <v>101</v>
      </c>
      <c r="B8" s="3">
        <v>2</v>
      </c>
      <c r="C8" s="3">
        <v>956</v>
      </c>
      <c r="D8" s="3">
        <v>980</v>
      </c>
      <c r="E8" s="3">
        <f>D8-C8</f>
        <v>24</v>
      </c>
      <c r="F8" s="4">
        <f>E8*$A$3</f>
        <v>31.200000000000003</v>
      </c>
    </row>
    <row r="9" spans="1:6">
      <c r="A9" s="3">
        <v>102</v>
      </c>
      <c r="B9" s="3">
        <v>5</v>
      </c>
      <c r="C9" s="3">
        <v>873</v>
      </c>
      <c r="D9" s="3">
        <v>910</v>
      </c>
      <c r="E9" s="3">
        <f t="shared" ref="E9:E23" si="0">D9-C9</f>
        <v>37</v>
      </c>
      <c r="F9" s="4">
        <f t="shared" ref="F9:F23" si="1">E9*$A$3</f>
        <v>48.1</v>
      </c>
    </row>
    <row r="10" spans="1:6">
      <c r="A10" s="3">
        <v>103</v>
      </c>
      <c r="B10" s="3">
        <v>3</v>
      </c>
      <c r="C10" s="3">
        <v>789</v>
      </c>
      <c r="D10" s="3">
        <v>801</v>
      </c>
      <c r="E10" s="3">
        <f t="shared" si="0"/>
        <v>12</v>
      </c>
      <c r="F10" s="4">
        <f t="shared" si="1"/>
        <v>15.600000000000001</v>
      </c>
    </row>
    <row r="11" spans="1:6">
      <c r="A11" s="3">
        <v>104</v>
      </c>
      <c r="B11" s="3">
        <v>1</v>
      </c>
      <c r="C11" s="3">
        <v>567</v>
      </c>
      <c r="D11" s="3">
        <v>574</v>
      </c>
      <c r="E11" s="3">
        <f t="shared" si="0"/>
        <v>7</v>
      </c>
      <c r="F11" s="4">
        <f t="shared" si="1"/>
        <v>9.1</v>
      </c>
    </row>
    <row r="12" spans="1:6">
      <c r="A12" s="3">
        <v>201</v>
      </c>
      <c r="B12" s="3">
        <v>6</v>
      </c>
      <c r="C12" s="3">
        <v>675</v>
      </c>
      <c r="D12" s="3">
        <v>694</v>
      </c>
      <c r="E12" s="3">
        <f t="shared" si="0"/>
        <v>19</v>
      </c>
      <c r="F12" s="4">
        <f t="shared" si="1"/>
        <v>24.7</v>
      </c>
    </row>
    <row r="13" spans="1:6">
      <c r="A13" s="3">
        <v>202</v>
      </c>
      <c r="B13" s="3">
        <v>5</v>
      </c>
      <c r="C13" s="3">
        <v>834</v>
      </c>
      <c r="D13" s="3">
        <v>849</v>
      </c>
      <c r="E13" s="3">
        <f t="shared" si="0"/>
        <v>15</v>
      </c>
      <c r="F13" s="4">
        <f t="shared" si="1"/>
        <v>19.5</v>
      </c>
    </row>
    <row r="14" spans="1:6">
      <c r="A14" s="3">
        <v>203</v>
      </c>
      <c r="B14" s="3">
        <v>3</v>
      </c>
      <c r="C14" s="3">
        <v>598</v>
      </c>
      <c r="D14" s="3">
        <v>615</v>
      </c>
      <c r="E14" s="3">
        <f t="shared" si="0"/>
        <v>17</v>
      </c>
      <c r="F14" s="4">
        <f t="shared" si="1"/>
        <v>22.1</v>
      </c>
    </row>
    <row r="15" spans="1:6">
      <c r="A15" s="3">
        <v>204</v>
      </c>
      <c r="B15" s="3">
        <v>4</v>
      </c>
      <c r="C15" s="3">
        <v>365</v>
      </c>
      <c r="D15" s="3">
        <v>396</v>
      </c>
      <c r="E15" s="3">
        <f t="shared" si="0"/>
        <v>31</v>
      </c>
      <c r="F15" s="4">
        <f t="shared" si="1"/>
        <v>40.300000000000004</v>
      </c>
    </row>
    <row r="16" spans="1:6">
      <c r="A16" s="3">
        <v>301</v>
      </c>
      <c r="B16" s="3">
        <v>2</v>
      </c>
      <c r="C16" s="3">
        <v>398</v>
      </c>
      <c r="D16" s="3">
        <v>416</v>
      </c>
      <c r="E16" s="3">
        <f t="shared" si="0"/>
        <v>18</v>
      </c>
      <c r="F16" s="4">
        <f t="shared" si="1"/>
        <v>23.400000000000002</v>
      </c>
    </row>
    <row r="17" spans="1:6">
      <c r="A17" s="3">
        <v>302</v>
      </c>
      <c r="B17" s="3">
        <v>1</v>
      </c>
      <c r="C17" s="3">
        <v>678</v>
      </c>
      <c r="D17" s="3">
        <v>682</v>
      </c>
      <c r="E17" s="3">
        <f t="shared" si="0"/>
        <v>4</v>
      </c>
      <c r="F17" s="4">
        <f t="shared" si="1"/>
        <v>5.2</v>
      </c>
    </row>
    <row r="18" spans="1:6">
      <c r="A18" s="3">
        <v>303</v>
      </c>
      <c r="B18" s="3">
        <v>2</v>
      </c>
      <c r="C18" s="3">
        <v>654</v>
      </c>
      <c r="D18" s="3">
        <v>669</v>
      </c>
      <c r="E18" s="3">
        <f t="shared" si="0"/>
        <v>15</v>
      </c>
      <c r="F18" s="4">
        <f t="shared" si="1"/>
        <v>19.5</v>
      </c>
    </row>
    <row r="19" spans="1:6">
      <c r="A19" s="3">
        <v>304</v>
      </c>
      <c r="B19" s="3">
        <v>2</v>
      </c>
      <c r="C19" s="3">
        <v>852</v>
      </c>
      <c r="D19" s="3">
        <v>871</v>
      </c>
      <c r="E19" s="3">
        <f t="shared" si="0"/>
        <v>19</v>
      </c>
      <c r="F19" s="4">
        <f t="shared" si="1"/>
        <v>24.7</v>
      </c>
    </row>
    <row r="20" spans="1:6">
      <c r="A20" s="3">
        <v>401</v>
      </c>
      <c r="B20" s="3">
        <v>5</v>
      </c>
      <c r="C20" s="3">
        <v>963</v>
      </c>
      <c r="D20" s="3">
        <v>986</v>
      </c>
      <c r="E20" s="3">
        <f t="shared" si="0"/>
        <v>23</v>
      </c>
      <c r="F20" s="4">
        <f t="shared" si="1"/>
        <v>29.900000000000002</v>
      </c>
    </row>
    <row r="21" spans="1:6">
      <c r="A21" s="3">
        <v>402</v>
      </c>
      <c r="B21" s="3">
        <v>3</v>
      </c>
      <c r="C21" s="3">
        <v>741</v>
      </c>
      <c r="D21" s="3">
        <v>762</v>
      </c>
      <c r="E21" s="3">
        <f t="shared" si="0"/>
        <v>21</v>
      </c>
      <c r="F21" s="4">
        <f t="shared" si="1"/>
        <v>27.3</v>
      </c>
    </row>
    <row r="22" spans="1:6">
      <c r="A22" s="3">
        <v>403</v>
      </c>
      <c r="B22" s="3">
        <v>3</v>
      </c>
      <c r="C22" s="3">
        <v>852</v>
      </c>
      <c r="D22" s="3">
        <v>873</v>
      </c>
      <c r="E22" s="3">
        <f t="shared" si="0"/>
        <v>21</v>
      </c>
      <c r="F22" s="4">
        <f t="shared" si="1"/>
        <v>27.3</v>
      </c>
    </row>
    <row r="23" spans="1:6">
      <c r="A23" s="3">
        <v>404</v>
      </c>
      <c r="B23" s="3">
        <v>4</v>
      </c>
      <c r="C23" s="3">
        <v>159</v>
      </c>
      <c r="D23" s="3">
        <v>186</v>
      </c>
      <c r="E23" s="3">
        <f t="shared" si="0"/>
        <v>27</v>
      </c>
      <c r="F23" s="4">
        <f t="shared" si="1"/>
        <v>35.1</v>
      </c>
    </row>
    <row r="24" spans="1:6">
      <c r="A24" s="3"/>
      <c r="B24" s="3"/>
      <c r="C24" s="3"/>
      <c r="D24" s="3"/>
      <c r="E24" s="3"/>
      <c r="F24" s="4"/>
    </row>
    <row r="25" spans="1:6">
      <c r="A25" s="3" t="s">
        <v>8</v>
      </c>
      <c r="B25" s="3"/>
      <c r="C25" s="3"/>
      <c r="D25" s="3"/>
      <c r="E25" s="5">
        <f>AVERAGE(E8:E23)</f>
        <v>19.375</v>
      </c>
      <c r="F25" s="4">
        <f>AVERAGE(F8:F23)</f>
        <v>25.1875</v>
      </c>
    </row>
  </sheetData>
  <phoneticPr fontId="1" type="noConversion"/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8"/>
  <sheetViews>
    <sheetView workbookViewId="0"/>
  </sheetViews>
  <sheetFormatPr defaultRowHeight="14.25"/>
  <sheetData>
    <row r="1" spans="1:6">
      <c r="A1" t="s">
        <v>10</v>
      </c>
    </row>
    <row r="2" spans="1:6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>
      <c r="A3">
        <v>101</v>
      </c>
      <c r="B3">
        <v>2</v>
      </c>
      <c r="C3">
        <v>956</v>
      </c>
      <c r="D3">
        <v>980</v>
      </c>
      <c r="E3">
        <v>24</v>
      </c>
      <c r="F3">
        <v>31.200000000000003</v>
      </c>
    </row>
    <row r="4" spans="1:6">
      <c r="A4">
        <v>102</v>
      </c>
      <c r="B4">
        <v>5</v>
      </c>
      <c r="C4">
        <v>873</v>
      </c>
      <c r="D4">
        <v>910</v>
      </c>
      <c r="E4">
        <v>37</v>
      </c>
      <c r="F4">
        <v>48.1</v>
      </c>
    </row>
    <row r="5" spans="1:6" hidden="1">
      <c r="A5">
        <v>103</v>
      </c>
      <c r="B5">
        <v>3</v>
      </c>
      <c r="C5">
        <v>789</v>
      </c>
      <c r="D5">
        <v>801</v>
      </c>
      <c r="E5">
        <v>12</v>
      </c>
      <c r="F5">
        <v>15.600000000000001</v>
      </c>
    </row>
    <row r="6" spans="1:6" hidden="1">
      <c r="A6">
        <v>104</v>
      </c>
      <c r="B6">
        <v>1</v>
      </c>
      <c r="C6">
        <v>567</v>
      </c>
      <c r="D6">
        <v>574</v>
      </c>
      <c r="E6">
        <v>7</v>
      </c>
      <c r="F6">
        <v>9.1</v>
      </c>
    </row>
    <row r="7" spans="1:6" hidden="1">
      <c r="A7">
        <v>201</v>
      </c>
      <c r="B7">
        <v>6</v>
      </c>
      <c r="C7">
        <v>675</v>
      </c>
      <c r="D7">
        <v>694</v>
      </c>
      <c r="E7">
        <v>19</v>
      </c>
      <c r="F7">
        <v>24.7</v>
      </c>
    </row>
    <row r="8" spans="1:6" hidden="1">
      <c r="A8">
        <v>202</v>
      </c>
      <c r="B8">
        <v>5</v>
      </c>
      <c r="C8">
        <v>834</v>
      </c>
      <c r="D8">
        <v>849</v>
      </c>
      <c r="E8">
        <v>15</v>
      </c>
      <c r="F8">
        <v>19.5</v>
      </c>
    </row>
    <row r="9" spans="1:6" hidden="1">
      <c r="A9">
        <v>203</v>
      </c>
      <c r="B9">
        <v>3</v>
      </c>
      <c r="C9">
        <v>598</v>
      </c>
      <c r="D9">
        <v>615</v>
      </c>
      <c r="E9">
        <v>17</v>
      </c>
      <c r="F9">
        <v>22.1</v>
      </c>
    </row>
    <row r="10" spans="1:6">
      <c r="A10">
        <v>204</v>
      </c>
      <c r="B10">
        <v>4</v>
      </c>
      <c r="C10">
        <v>365</v>
      </c>
      <c r="D10">
        <v>396</v>
      </c>
      <c r="E10">
        <v>31</v>
      </c>
      <c r="F10">
        <v>40.300000000000004</v>
      </c>
    </row>
    <row r="11" spans="1:6" hidden="1">
      <c r="A11">
        <v>301</v>
      </c>
      <c r="B11">
        <v>2</v>
      </c>
      <c r="C11">
        <v>398</v>
      </c>
      <c r="D11">
        <v>416</v>
      </c>
      <c r="E11">
        <v>18</v>
      </c>
      <c r="F11">
        <v>23.400000000000002</v>
      </c>
    </row>
    <row r="12" spans="1:6" hidden="1">
      <c r="A12">
        <v>302</v>
      </c>
      <c r="B12">
        <v>1</v>
      </c>
      <c r="C12">
        <v>678</v>
      </c>
      <c r="D12">
        <v>682</v>
      </c>
      <c r="E12">
        <v>4</v>
      </c>
      <c r="F12">
        <v>5.2</v>
      </c>
    </row>
    <row r="13" spans="1:6" hidden="1">
      <c r="A13">
        <v>303</v>
      </c>
      <c r="B13">
        <v>2</v>
      </c>
      <c r="C13">
        <v>654</v>
      </c>
      <c r="D13">
        <v>669</v>
      </c>
      <c r="E13">
        <v>15</v>
      </c>
      <c r="F13">
        <v>19.5</v>
      </c>
    </row>
    <row r="14" spans="1:6" hidden="1">
      <c r="A14">
        <v>304</v>
      </c>
      <c r="B14">
        <v>2</v>
      </c>
      <c r="C14">
        <v>852</v>
      </c>
      <c r="D14">
        <v>871</v>
      </c>
      <c r="E14">
        <v>19</v>
      </c>
      <c r="F14">
        <v>24.7</v>
      </c>
    </row>
    <row r="15" spans="1:6">
      <c r="A15">
        <v>401</v>
      </c>
      <c r="B15">
        <v>5</v>
      </c>
      <c r="C15">
        <v>963</v>
      </c>
      <c r="D15">
        <v>986</v>
      </c>
      <c r="E15">
        <v>23</v>
      </c>
      <c r="F15">
        <v>29.900000000000002</v>
      </c>
    </row>
    <row r="16" spans="1:6">
      <c r="A16">
        <v>402</v>
      </c>
      <c r="B16">
        <v>3</v>
      </c>
      <c r="C16">
        <v>741</v>
      </c>
      <c r="D16">
        <v>762</v>
      </c>
      <c r="E16">
        <v>21</v>
      </c>
      <c r="F16">
        <v>27.3</v>
      </c>
    </row>
    <row r="17" spans="1:6">
      <c r="A17">
        <v>403</v>
      </c>
      <c r="B17">
        <v>3</v>
      </c>
      <c r="C17">
        <v>852</v>
      </c>
      <c r="D17">
        <v>873</v>
      </c>
      <c r="E17">
        <v>21</v>
      </c>
      <c r="F17">
        <v>27.3</v>
      </c>
    </row>
    <row r="18" spans="1:6">
      <c r="A18">
        <v>404</v>
      </c>
      <c r="B18">
        <v>4</v>
      </c>
      <c r="C18">
        <v>159</v>
      </c>
      <c r="D18">
        <v>186</v>
      </c>
      <c r="E18">
        <v>27</v>
      </c>
      <c r="F18">
        <v>35.1</v>
      </c>
    </row>
  </sheetData>
  <autoFilter ref="A2:F18">
    <filterColumn colId="4">
      <customFilters>
        <customFilter operator="greaterThanOrEqual" val="19.38"/>
      </customFilters>
    </filterColumn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3" workbookViewId="0">
      <selection activeCell="J21" sqref="J21"/>
    </sheetView>
  </sheetViews>
  <sheetFormatPr defaultRowHeight="14.25" outlineLevelRow="2"/>
  <sheetData>
    <row r="1" spans="1:6">
      <c r="A1" t="s">
        <v>10</v>
      </c>
    </row>
    <row r="2" spans="1:6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outlineLevel="2">
      <c r="A3">
        <v>104</v>
      </c>
      <c r="B3">
        <v>1</v>
      </c>
      <c r="C3">
        <v>567</v>
      </c>
      <c r="D3">
        <v>574</v>
      </c>
      <c r="E3">
        <v>7</v>
      </c>
      <c r="F3">
        <v>9.1</v>
      </c>
    </row>
    <row r="4" spans="1:6" outlineLevel="2">
      <c r="A4">
        <v>302</v>
      </c>
      <c r="B4">
        <v>1</v>
      </c>
      <c r="C4">
        <v>678</v>
      </c>
      <c r="D4">
        <v>682</v>
      </c>
      <c r="E4">
        <v>4</v>
      </c>
      <c r="F4">
        <v>5.2</v>
      </c>
    </row>
    <row r="5" spans="1:6" outlineLevel="1">
      <c r="B5" s="6" t="s">
        <v>17</v>
      </c>
      <c r="E5">
        <f>SUBTOTAL(1,E3:E4)</f>
        <v>5.5</v>
      </c>
      <c r="F5">
        <f>SUBTOTAL(1,F3:F4)</f>
        <v>7.15</v>
      </c>
    </row>
    <row r="6" spans="1:6" outlineLevel="2">
      <c r="A6">
        <v>101</v>
      </c>
      <c r="B6">
        <v>2</v>
      </c>
      <c r="C6">
        <v>956</v>
      </c>
      <c r="D6">
        <v>980</v>
      </c>
      <c r="E6">
        <v>24</v>
      </c>
      <c r="F6">
        <v>31.200000000000003</v>
      </c>
    </row>
    <row r="7" spans="1:6" outlineLevel="2">
      <c r="A7">
        <v>301</v>
      </c>
      <c r="B7">
        <v>2</v>
      </c>
      <c r="C7">
        <v>398</v>
      </c>
      <c r="D7">
        <v>416</v>
      </c>
      <c r="E7">
        <v>18</v>
      </c>
      <c r="F7">
        <v>23.400000000000002</v>
      </c>
    </row>
    <row r="8" spans="1:6" outlineLevel="2">
      <c r="A8">
        <v>303</v>
      </c>
      <c r="B8">
        <v>2</v>
      </c>
      <c r="C8">
        <v>654</v>
      </c>
      <c r="D8">
        <v>669</v>
      </c>
      <c r="E8">
        <v>15</v>
      </c>
      <c r="F8">
        <v>19.5</v>
      </c>
    </row>
    <row r="9" spans="1:6" outlineLevel="2">
      <c r="A9">
        <v>304</v>
      </c>
      <c r="B9">
        <v>2</v>
      </c>
      <c r="C9">
        <v>852</v>
      </c>
      <c r="D9">
        <v>871</v>
      </c>
      <c r="E9">
        <v>19</v>
      </c>
      <c r="F9">
        <v>24.7</v>
      </c>
    </row>
    <row r="10" spans="1:6" outlineLevel="1">
      <c r="B10" s="7" t="s">
        <v>18</v>
      </c>
      <c r="E10">
        <f>SUBTOTAL(1,E6:E9)</f>
        <v>19</v>
      </c>
      <c r="F10">
        <f>SUBTOTAL(1,F6:F9)</f>
        <v>24.700000000000003</v>
      </c>
    </row>
    <row r="11" spans="1:6" outlineLevel="2">
      <c r="A11">
        <v>103</v>
      </c>
      <c r="B11">
        <v>3</v>
      </c>
      <c r="C11">
        <v>789</v>
      </c>
      <c r="D11">
        <v>801</v>
      </c>
      <c r="E11">
        <v>12</v>
      </c>
      <c r="F11">
        <v>15.600000000000001</v>
      </c>
    </row>
    <row r="12" spans="1:6" outlineLevel="2">
      <c r="A12">
        <v>203</v>
      </c>
      <c r="B12">
        <v>3</v>
      </c>
      <c r="C12">
        <v>598</v>
      </c>
      <c r="D12">
        <v>615</v>
      </c>
      <c r="E12">
        <v>17</v>
      </c>
      <c r="F12">
        <v>22.1</v>
      </c>
    </row>
    <row r="13" spans="1:6" outlineLevel="2">
      <c r="A13">
        <v>402</v>
      </c>
      <c r="B13">
        <v>3</v>
      </c>
      <c r="C13">
        <v>741</v>
      </c>
      <c r="D13">
        <v>762</v>
      </c>
      <c r="E13">
        <v>21</v>
      </c>
      <c r="F13">
        <v>27.3</v>
      </c>
    </row>
    <row r="14" spans="1:6" outlineLevel="2">
      <c r="A14">
        <v>403</v>
      </c>
      <c r="B14">
        <v>3</v>
      </c>
      <c r="C14">
        <v>852</v>
      </c>
      <c r="D14">
        <v>873</v>
      </c>
      <c r="E14">
        <v>21</v>
      </c>
      <c r="F14">
        <v>27.3</v>
      </c>
    </row>
    <row r="15" spans="1:6" outlineLevel="1">
      <c r="B15" s="7" t="s">
        <v>19</v>
      </c>
      <c r="E15">
        <f>SUBTOTAL(1,E11:E14)</f>
        <v>17.75</v>
      </c>
      <c r="F15">
        <f>SUBTOTAL(1,F11:F14)</f>
        <v>23.074999999999999</v>
      </c>
    </row>
    <row r="16" spans="1:6" outlineLevel="2">
      <c r="A16">
        <v>204</v>
      </c>
      <c r="B16">
        <v>4</v>
      </c>
      <c r="C16">
        <v>365</v>
      </c>
      <c r="D16">
        <v>396</v>
      </c>
      <c r="E16">
        <v>31</v>
      </c>
      <c r="F16">
        <v>40.300000000000004</v>
      </c>
    </row>
    <row r="17" spans="1:6" outlineLevel="2">
      <c r="A17">
        <v>404</v>
      </c>
      <c r="B17">
        <v>4</v>
      </c>
      <c r="C17">
        <v>159</v>
      </c>
      <c r="D17">
        <v>186</v>
      </c>
      <c r="E17">
        <v>27</v>
      </c>
      <c r="F17">
        <v>35.1</v>
      </c>
    </row>
    <row r="18" spans="1:6" outlineLevel="1">
      <c r="B18" s="7" t="s">
        <v>20</v>
      </c>
      <c r="E18">
        <f>SUBTOTAL(1,E16:E17)</f>
        <v>29</v>
      </c>
      <c r="F18">
        <f>SUBTOTAL(1,F16:F17)</f>
        <v>37.700000000000003</v>
      </c>
    </row>
    <row r="19" spans="1:6" outlineLevel="2">
      <c r="A19">
        <v>102</v>
      </c>
      <c r="B19">
        <v>5</v>
      </c>
      <c r="C19">
        <v>873</v>
      </c>
      <c r="D19">
        <v>910</v>
      </c>
      <c r="E19">
        <v>37</v>
      </c>
      <c r="F19">
        <v>48.1</v>
      </c>
    </row>
    <row r="20" spans="1:6" outlineLevel="2">
      <c r="A20">
        <v>202</v>
      </c>
      <c r="B20">
        <v>5</v>
      </c>
      <c r="C20">
        <v>834</v>
      </c>
      <c r="D20">
        <v>849</v>
      </c>
      <c r="E20">
        <v>15</v>
      </c>
      <c r="F20">
        <v>19.5</v>
      </c>
    </row>
    <row r="21" spans="1:6" outlineLevel="2">
      <c r="A21">
        <v>401</v>
      </c>
      <c r="B21">
        <v>5</v>
      </c>
      <c r="C21">
        <v>963</v>
      </c>
      <c r="D21">
        <v>986</v>
      </c>
      <c r="E21">
        <v>23</v>
      </c>
      <c r="F21">
        <v>29.900000000000002</v>
      </c>
    </row>
    <row r="22" spans="1:6" outlineLevel="1">
      <c r="B22" s="7" t="s">
        <v>21</v>
      </c>
      <c r="E22">
        <f>SUBTOTAL(1,E19:E21)</f>
        <v>25</v>
      </c>
      <c r="F22">
        <f>SUBTOTAL(1,F19:F21)</f>
        <v>32.5</v>
      </c>
    </row>
    <row r="23" spans="1:6" outlineLevel="2">
      <c r="A23">
        <v>201</v>
      </c>
      <c r="B23">
        <v>6</v>
      </c>
      <c r="C23">
        <v>675</v>
      </c>
      <c r="D23">
        <v>694</v>
      </c>
      <c r="E23">
        <v>19</v>
      </c>
      <c r="F23">
        <v>24.7</v>
      </c>
    </row>
    <row r="24" spans="1:6" outlineLevel="1">
      <c r="B24" s="7" t="s">
        <v>22</v>
      </c>
      <c r="E24">
        <f>SUBTOTAL(1,E23:E23)</f>
        <v>19</v>
      </c>
      <c r="F24">
        <f>SUBTOTAL(1,F23:F23)</f>
        <v>24.7</v>
      </c>
    </row>
    <row r="25" spans="1:6">
      <c r="B25" s="7" t="s">
        <v>23</v>
      </c>
      <c r="E25">
        <f>SUBTOTAL(1,E3:E23)</f>
        <v>19.375</v>
      </c>
      <c r="F25">
        <f>SUBTOTAL(1,F3:F23)</f>
        <v>25.187500000000004</v>
      </c>
    </row>
  </sheetData>
  <sortState ref="A3:F18">
    <sortCondition ref="B2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wwjt</cp:lastModifiedBy>
  <dcterms:created xsi:type="dcterms:W3CDTF">1996-12-17T01:32:42Z</dcterms:created>
  <dcterms:modified xsi:type="dcterms:W3CDTF">2012-11-01T02:18:23Z</dcterms:modified>
</cp:coreProperties>
</file>
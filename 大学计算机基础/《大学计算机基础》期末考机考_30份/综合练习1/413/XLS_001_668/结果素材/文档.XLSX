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6150" windowHeight="4155"/>
  </bookViews>
  <sheets>
    <sheet name="平均气温统计表" sheetId="1" r:id="rId1"/>
    <sheet name="图书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48" i="2" l="1"/>
  <c r="D47" i="2"/>
  <c r="D30" i="2"/>
  <c r="D17" i="2"/>
  <c r="D8" i="1" l="1"/>
  <c r="E8" i="1"/>
  <c r="F8" i="1"/>
  <c r="G8" i="1"/>
  <c r="D7" i="1"/>
  <c r="E7" i="1"/>
  <c r="F7" i="1"/>
  <c r="G7" i="1"/>
  <c r="C7" i="1"/>
  <c r="C8" i="1"/>
  <c r="D6" i="1" l="1"/>
  <c r="E6" i="1"/>
  <c r="F6" i="1"/>
  <c r="G6" i="1"/>
  <c r="C6" i="1"/>
  <c r="F41" i="2" l="1"/>
  <c r="F12" i="2"/>
  <c r="F46" i="2"/>
  <c r="F36" i="2"/>
  <c r="F21" i="2"/>
  <c r="F35" i="2"/>
  <c r="F29" i="2"/>
  <c r="F28" i="2"/>
  <c r="F16" i="2"/>
  <c r="F25" i="2"/>
  <c r="F24" i="2"/>
  <c r="F45" i="2"/>
  <c r="F27" i="2"/>
  <c r="F44" i="2"/>
  <c r="F34" i="2"/>
  <c r="F23" i="2"/>
  <c r="F33" i="2"/>
  <c r="F20" i="2"/>
  <c r="F7" i="2"/>
  <c r="F11" i="2"/>
  <c r="F15" i="2"/>
  <c r="F6" i="2"/>
  <c r="F5" i="2"/>
  <c r="F26" i="2"/>
  <c r="F14" i="2"/>
  <c r="F43" i="2"/>
  <c r="F19" i="2"/>
  <c r="F22" i="2"/>
  <c r="F4" i="2"/>
  <c r="F10" i="2"/>
  <c r="F40" i="2"/>
  <c r="F39" i="2"/>
  <c r="F9" i="2"/>
  <c r="F38" i="2"/>
  <c r="F3" i="2"/>
  <c r="F42" i="2"/>
  <c r="F32" i="2"/>
  <c r="F8" i="2"/>
  <c r="F37" i="2"/>
  <c r="F13" i="2"/>
  <c r="F18" i="2"/>
  <c r="F31" i="2"/>
</calcChain>
</file>

<file path=xl/sharedStrings.xml><?xml version="1.0" encoding="utf-8"?>
<sst xmlns="http://schemas.openxmlformats.org/spreadsheetml/2006/main" count="109" uniqueCount="33">
  <si>
    <t>月份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</si>
  <si>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</si>
  <si>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</si>
  <si>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</si>
  <si>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</si>
  <si>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</si>
  <si>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</si>
  <si>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r>
      <t>2007</t>
    </r>
    <r>
      <rPr>
        <sz val="12"/>
        <rFont val="宋体"/>
        <charset val="134"/>
      </rPr>
      <t>年</t>
    </r>
    <phoneticPr fontId="1" type="noConversion"/>
  </si>
  <si>
    <t>2006年</t>
    <phoneticPr fontId="1" type="noConversion"/>
  </si>
  <si>
    <r>
      <t>2008</t>
    </r>
    <r>
      <rPr>
        <sz val="12"/>
        <rFont val="宋体"/>
        <charset val="134"/>
      </rPr>
      <t>年</t>
    </r>
    <phoneticPr fontId="1" type="noConversion"/>
  </si>
  <si>
    <t>某地区近三年月平均气温统计表(单位:度)</t>
    <phoneticPr fontId="1" type="noConversion"/>
  </si>
  <si>
    <t>平均值</t>
    <phoneticPr fontId="1" type="noConversion"/>
  </si>
  <si>
    <t>最高值</t>
    <phoneticPr fontId="1" type="noConversion"/>
  </si>
  <si>
    <t>最低值</t>
    <phoneticPr fontId="1" type="noConversion"/>
  </si>
  <si>
    <t>某图书销售公司销售情况表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</si>
  <si>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</si>
  <si>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</si>
  <si>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</si>
  <si>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数量(册)</t>
    <phoneticPr fontId="1" type="noConversion"/>
  </si>
  <si>
    <t>销售额(元)</t>
    <phoneticPr fontId="1" type="noConversion"/>
  </si>
  <si>
    <t>销售量排名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</si>
  <si>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</si>
  <si>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</si>
  <si>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</si>
  <si>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少儿类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</si>
  <si>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1" type="noConversion"/>
  </si>
  <si>
    <t>社科类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</si>
  <si>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</si>
  <si>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</si>
  <si>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t>社科类 汇总</t>
  </si>
  <si>
    <t>少儿类 汇总</t>
  </si>
  <si>
    <t>计算机类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</si>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</sst>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0" fillId="0" borderId="0" xfId="0" applyAlignment="1">
      <alignment horizontal="center"/>
    </xf>
    <xf numFmtId="0" fontId="0" fillId="0" borderId="0" xfId="0" applyNumberFormat="1" applyFill="1" applyBorder="1" applyAlignment="1">
      <alignment horizontal="center"/>
    </xf>
    <xf numFmtId="176" fontId="0" fillId="0" borderId="0" xfId="0" applyNumberFormat="1" applyFont="1" applyFill="1" applyBorder="1" applyAlignment="1"/>
    <xf numFmtId="0" fontId="3" fillId="0" borderId="0" xfId="0" applyFont="1"/>
  </cellXfs>
  <cellStyles count="1"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平均气温统计图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平均气温统计表!$B$2</c:f>
              <c:strCache>
                <c:ptCount val="1"/>
                <c:pt idx="0">
                  <c:v>一月</c:v>
                </c:pt>
              </c:strCache>
            </c:strRef>
          </c:tx>
          <c:invertIfNegative val="0"/>
          <c:cat>
            <c:strRef>
              <c:f>平均气温统计表!$A$6</c:f>
              <c:strCache>
                <c:ptCount val="1"/>
                <c:pt idx="0">
                  <c:v>平均值</c:v>
                </c:pt>
              </c:strCache>
            </c:strRef>
          </c:cat>
          <c:val>
            <c:numRef>
              <c:f>平均气温统计表!$B$6</c:f>
            </c:numRef>
          </c:val>
          <c:shape val="box"/>
        </c:ser>
        <c:ser>
          <c:idx val="1"/>
          <c:order val="1"/>
          <c:tx>
            <c:strRef>
              <c:f>平均气温统计表!$C$2</c:f>
              <c:strCache>
                <c:ptCount val="1"/>
                <c:pt idx="0">
                  <c:v>二月</c:v>
                </c:pt>
              </c:strCache>
            </c:strRef>
          </c:tx>
          <c:invertIfNegative val="0"/>
          <c:cat>
            <c:strRef>
              <c:f>平均气温统计表!$A$6</c:f>
              <c:strCache>
                <c:ptCount val="1"/>
                <c:pt idx="0">
                  <c:v>平均值</c:v>
                </c:pt>
              </c:strCache>
            </c:strRef>
          </c:cat>
          <c:val>
            <c:numRef>
              <c:f>平均气温统计表!$C$6</c:f>
              <c:numCache>
                <c:formatCode>0.00_ </c:formatCode>
                <c:ptCount val="1"/>
                <c:pt idx="0">
                  <c:v>5.3</c:v>
                </c:pt>
              </c:numCache>
            </c:numRef>
          </c:val>
        </c:ser>
        <c:ser>
          <c:idx val="2"/>
          <c:order val="2"/>
          <c:tx>
            <c:strRef>
              <c:f>平均气温统计表!$D$2</c:f>
              <c:strCache>
                <c:ptCount val="1"/>
                <c:pt idx="0">
                  <c:v>三月</c:v>
                </c:pt>
              </c:strCache>
            </c:strRef>
          </c:tx>
          <c:invertIfNegative val="0"/>
          <c:cat>
            <c:strRef>
              <c:f>平均气温统计表!$A$6</c:f>
              <c:strCache>
                <c:ptCount val="1"/>
                <c:pt idx="0">
                  <c:v>平均值</c:v>
                </c:pt>
              </c:strCache>
            </c:strRef>
          </c:cat>
          <c:val>
            <c:numRef>
              <c:f>平均气温统计表!$D$6</c:f>
              <c:numCache>
                <c:formatCode>0.00_ </c:formatCode>
                <c:ptCount val="1"/>
                <c:pt idx="0">
                  <c:v>10.466666666666667</c:v>
                </c:pt>
              </c:numCache>
            </c:numRef>
          </c:val>
        </c:ser>
        <c:ser>
          <c:idx val="3"/>
          <c:order val="3"/>
          <c:tx>
            <c:strRef>
              <c:f>平均气温统计表!$E$2</c:f>
              <c:strCache>
                <c:ptCount val="1"/>
                <c:pt idx="0">
                  <c:v>四月</c:v>
                </c:pt>
              </c:strCache>
            </c:strRef>
          </c:tx>
          <c:invertIfNegative val="0"/>
          <c:cat>
            <c:strRef>
              <c:f>平均气温统计表!$A$6</c:f>
              <c:strCache>
                <c:ptCount val="1"/>
                <c:pt idx="0">
                  <c:v>平均值</c:v>
                </c:pt>
              </c:strCache>
            </c:strRef>
          </c:cat>
          <c:val>
            <c:numRef>
              <c:f>平均气温统计表!$E$6</c:f>
              <c:numCache>
                <c:formatCode>0.00_ </c:formatCode>
                <c:ptCount val="1"/>
                <c:pt idx="0">
                  <c:v>15.433333333333332</c:v>
                </c:pt>
              </c:numCache>
            </c:numRef>
          </c:val>
        </c:ser>
        <c:ser>
          <c:idx val="4"/>
          <c:order val="4"/>
          <c:tx>
            <c:strRef>
              <c:f>平均气温统计表!$F$2</c:f>
              <c:strCache>
                <c:ptCount val="1"/>
                <c:pt idx="0">
                  <c:v>五月</c:v>
                </c:pt>
              </c:strCache>
            </c:strRef>
          </c:tx>
          <c:invertIfNegative val="0"/>
          <c:cat>
            <c:strRef>
              <c:f>平均气温统计表!$A$6</c:f>
              <c:strCache>
                <c:ptCount val="1"/>
                <c:pt idx="0">
                  <c:v>平均值</c:v>
                </c:pt>
              </c:strCache>
            </c:strRef>
          </c:cat>
          <c:val>
            <c:numRef>
              <c:f>平均气温统计表!$F$6</c:f>
              <c:numCache>
                <c:formatCode>0.00_ </c:formatCode>
                <c:ptCount val="1"/>
                <c:pt idx="0">
                  <c:v>24.666666666666668</c:v>
                </c:pt>
              </c:numCache>
            </c:numRef>
          </c:val>
        </c:ser>
        <c:ser>
          <c:idx val="5"/>
          <c:order val="5"/>
          <c:tx>
            <c:strRef>
              <c:f>平均气温统计表!$G$2</c:f>
              <c:strCache>
                <c:ptCount val="1"/>
                <c:pt idx="0">
                  <c:v>六月</c:v>
                </c:pt>
              </c:strCache>
            </c:strRef>
          </c:tx>
          <c:invertIfNegative val="0"/>
          <c:cat>
            <c:strRef>
              <c:f>平均气温统计表!$A$6</c:f>
              <c:strCache>
                <c:ptCount val="1"/>
                <c:pt idx="0">
                  <c:v>平均值</c:v>
                </c:pt>
              </c:strCache>
            </c:strRef>
          </c:cat>
          <c:val>
            <c:numRef>
              <c:f>平均气温统计表!$G$6</c:f>
              <c:numCache>
                <c:formatCode>0.00_ </c:formatCode>
                <c:ptCount val="1"/>
                <c:pt idx="0">
                  <c:v>30.400000000000002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77049216"/>
        <c:axId val="81062912"/>
        <c:axId val="0"/>
      </c:bar3DChart>
      <c:catAx>
        <c:axId val="77049216"/>
        <c:scaling>
          <c:orientation val="minMax"/>
        </c:scaling>
        <c:delete val="0"/>
        <c:axPos val="b"/>
        <c:majorTickMark val="out"/>
        <c:minorTickMark val="none"/>
        <c:tickLblPos val="nextTo"/>
        <c:crossAx val="81062912"/>
        <c:crosses val="autoZero"/>
        <c:auto val="1"/>
        <c:lblAlgn val="ctr"/>
        <c:lblOffset val="100"/>
        <c:noMultiLvlLbl val="0"/>
      </c:catAx>
      <c:valAx>
        <c:axId val="8106291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77049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23812</xdr:rowOff>
    </xdr:from>
    <xdr:to>
      <xdr:col>6</xdr:col>
      <xdr:colOff>552450</xdr:colOff>
      <xdr:row>22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G8" totalsRowShown="0" headerRowDxfId="0">
  <autoFilter ref="A2:G8"/>
  <tableColumns count="7">
    <tableColumn id="1" name="月份" dataDxfId="2"/>
    <tableColumn id="2" name="一月" dataDxfId="1"/>
    <tableColumn id="3" name="二月"/>
    <tableColumn id="4" name="三月"/>
    <tableColumn id="5" name="四月"/>
    <tableColumn id="6" name="五月"/>
    <tableColumn id="7" name="六月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J10" sqref="J10"/>
    </sheetView>
  </sheetViews>
  <sheetFormatPr defaultRowHeight="14.25" x14ac:dyDescent="0.15"/>
  <cols>
    <col min="1" max="1" width="7.75" customWidth="1"/>
    <col min="2" max="2" width="15" hidden="1" customWidth="1"/>
    <col min="3" max="3" width="7" customWidth="1"/>
    <col min="4" max="4" width="7.25" customWidth="1"/>
    <col min="5" max="5" width="7" customWidth="1"/>
    <col min="6" max="6" width="6.75" customWidth="1"/>
    <col min="7" max="7" width="7.5" customWidth="1"/>
  </cols>
  <sheetData>
    <row r="1" spans="1:7" x14ac:dyDescent="0.15">
      <c r="A1" s="4" t="s">
        <v>10</v>
      </c>
      <c r="B1" s="4"/>
      <c r="C1" s="4"/>
      <c r="D1" s="4"/>
      <c r="E1" s="4"/>
      <c r="F1" s="4"/>
      <c r="G1" s="4"/>
    </row>
    <row r="2" spans="1:7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15">
      <c r="A3" s="2" t="s">
        <v>8</v>
      </c>
      <c r="B3" s="1">
        <v>3.1</v>
      </c>
      <c r="C3" s="1">
        <v>5.0999999999999996</v>
      </c>
      <c r="D3" s="1">
        <v>10.199999999999999</v>
      </c>
      <c r="E3" s="1">
        <v>15.9</v>
      </c>
      <c r="F3" s="1">
        <v>24.3</v>
      </c>
      <c r="G3" s="1">
        <v>31.1</v>
      </c>
    </row>
    <row r="4" spans="1:7" x14ac:dyDescent="0.15">
      <c r="A4" s="2" t="s">
        <v>7</v>
      </c>
      <c r="B4" s="1">
        <v>2.5</v>
      </c>
      <c r="C4" s="1">
        <v>5.6</v>
      </c>
      <c r="D4" s="1">
        <v>10.9</v>
      </c>
      <c r="E4" s="1">
        <v>15.1</v>
      </c>
      <c r="F4" s="1">
        <v>24.7</v>
      </c>
      <c r="G4" s="1">
        <v>29.6</v>
      </c>
    </row>
    <row r="5" spans="1:7" x14ac:dyDescent="0.15">
      <c r="A5" s="2" t="s">
        <v>9</v>
      </c>
      <c r="B5" s="1">
        <v>2.2000000000000002</v>
      </c>
      <c r="C5" s="1">
        <v>5.2</v>
      </c>
      <c r="D5" s="1">
        <v>10.3</v>
      </c>
      <c r="E5" s="1">
        <v>15.3</v>
      </c>
      <c r="F5" s="1">
        <v>25</v>
      </c>
      <c r="G5" s="1">
        <v>30.5</v>
      </c>
    </row>
    <row r="6" spans="1:7" x14ac:dyDescent="0.15">
      <c r="A6" s="2" t="s">
        <v>11</v>
      </c>
      <c r="B6" s="1"/>
      <c r="C6" s="5">
        <f>AVERAGE(C3:C5)</f>
        <v>5.3</v>
      </c>
      <c r="D6" s="5">
        <f t="shared" ref="D6:G6" si="0">AVERAGE(D3:D5)</f>
        <v>10.466666666666667</v>
      </c>
      <c r="E6" s="5">
        <f t="shared" si="0"/>
        <v>15.433333333333332</v>
      </c>
      <c r="F6" s="5">
        <f t="shared" si="0"/>
        <v>24.666666666666668</v>
      </c>
      <c r="G6" s="5">
        <f t="shared" si="0"/>
        <v>30.400000000000002</v>
      </c>
    </row>
    <row r="7" spans="1:7" x14ac:dyDescent="0.15">
      <c r="A7" s="2" t="s">
        <v>12</v>
      </c>
      <c r="C7">
        <f>MAX(C3:C5)</f>
        <v>5.6</v>
      </c>
      <c r="D7">
        <f t="shared" ref="D7:G7" si="1">MAX(D3:D5)</f>
        <v>10.9</v>
      </c>
      <c r="E7">
        <f t="shared" si="1"/>
        <v>15.9</v>
      </c>
      <c r="F7">
        <f t="shared" si="1"/>
        <v>25</v>
      </c>
      <c r="G7">
        <f t="shared" si="1"/>
        <v>31.1</v>
      </c>
    </row>
    <row r="8" spans="1:7" x14ac:dyDescent="0.15">
      <c r="A8" s="2" t="s">
        <v>13</v>
      </c>
      <c r="C8">
        <f>MIN(C3:C5)</f>
        <v>5.0999999999999996</v>
      </c>
      <c r="D8">
        <f t="shared" ref="D8:G8" si="2">MIN(D3:D5)</f>
        <v>10.199999999999999</v>
      </c>
      <c r="E8">
        <f t="shared" si="2"/>
        <v>15.1</v>
      </c>
      <c r="F8">
        <f t="shared" si="2"/>
        <v>24.3</v>
      </c>
      <c r="G8">
        <f t="shared" si="2"/>
        <v>29.6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H20" sqref="H20"/>
    </sheetView>
  </sheetViews>
  <sheetFormatPr defaultRowHeight="14.25" outlineLevelRow="2" x14ac:dyDescent="0.15"/>
  <cols>
    <col min="1" max="2" width="9.5" bestFit="1" customWidth="1"/>
    <col min="3" max="3" width="5.5" bestFit="1" customWidth="1"/>
    <col min="4" max="4" width="9.5" bestFit="1" customWidth="1"/>
    <col min="5" max="6" width="11.625" bestFit="1" customWidth="1"/>
  </cols>
  <sheetData>
    <row r="1" spans="1:6" x14ac:dyDescent="0.15">
      <c r="A1" s="3" t="s">
        <v>14</v>
      </c>
      <c r="B1" s="3"/>
      <c r="C1" s="3"/>
      <c r="D1" s="3"/>
      <c r="E1" s="3"/>
    </row>
    <row r="2" spans="1:6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 ht="15.75" outlineLevel="2" x14ac:dyDescent="0.25">
      <c r="A3" t="s">
        <v>23</v>
      </c>
      <c r="B3" t="s">
        <v>26</v>
      </c>
      <c r="C3">
        <v>4</v>
      </c>
      <c r="D3">
        <v>213</v>
      </c>
      <c r="E3">
        <v>10650</v>
      </c>
      <c r="F3">
        <f>RANK(D3,$D$3:$D$46)</f>
        <v>34</v>
      </c>
    </row>
    <row r="4" spans="1:6" ht="15.75" outlineLevel="2" x14ac:dyDescent="0.25">
      <c r="A4" t="s">
        <v>23</v>
      </c>
      <c r="B4" t="s">
        <v>26</v>
      </c>
      <c r="C4">
        <v>3</v>
      </c>
      <c r="D4">
        <v>189</v>
      </c>
      <c r="E4">
        <v>9450</v>
      </c>
      <c r="F4">
        <f>RANK(D4,$D$3:$D$46)</f>
        <v>39</v>
      </c>
    </row>
    <row r="5" spans="1:6" ht="15.75" outlineLevel="2" x14ac:dyDescent="0.25">
      <c r="A5" t="s">
        <v>23</v>
      </c>
      <c r="B5" t="s">
        <v>26</v>
      </c>
      <c r="C5">
        <v>2</v>
      </c>
      <c r="D5">
        <v>242</v>
      </c>
      <c r="E5">
        <v>7260</v>
      </c>
      <c r="F5">
        <f>RANK(D5,$D$3:$D$46)</f>
        <v>29</v>
      </c>
    </row>
    <row r="6" spans="1:6" ht="15.75" outlineLevel="2" x14ac:dyDescent="0.25">
      <c r="A6" t="s">
        <v>23</v>
      </c>
      <c r="B6" t="s">
        <v>26</v>
      </c>
      <c r="C6">
        <v>3</v>
      </c>
      <c r="D6">
        <v>287</v>
      </c>
      <c r="E6">
        <v>14350</v>
      </c>
      <c r="F6">
        <f>RANK(D6,$D$3:$D$46)</f>
        <v>26</v>
      </c>
    </row>
    <row r="7" spans="1:6" ht="15.75" outlineLevel="2" x14ac:dyDescent="0.25">
      <c r="A7" t="s">
        <v>23</v>
      </c>
      <c r="B7" t="s">
        <v>26</v>
      </c>
      <c r="C7">
        <v>1</v>
      </c>
      <c r="D7">
        <v>301</v>
      </c>
      <c r="E7">
        <v>15050</v>
      </c>
      <c r="F7">
        <f>RANK(D7,$D$3:$D$46)</f>
        <v>25</v>
      </c>
    </row>
    <row r="8" spans="1:6" ht="15.75" outlineLevel="2" x14ac:dyDescent="0.25">
      <c r="A8" t="s">
        <v>27</v>
      </c>
      <c r="B8" t="s">
        <v>26</v>
      </c>
      <c r="C8">
        <v>1</v>
      </c>
      <c r="D8">
        <v>167</v>
      </c>
      <c r="E8">
        <v>8350</v>
      </c>
      <c r="F8">
        <f>RANK(D8,$D$3:$D$46)</f>
        <v>42</v>
      </c>
    </row>
    <row r="9" spans="1:6" ht="15.75" outlineLevel="2" x14ac:dyDescent="0.25">
      <c r="A9" t="s">
        <v>27</v>
      </c>
      <c r="B9" t="s">
        <v>26</v>
      </c>
      <c r="C9">
        <v>4</v>
      </c>
      <c r="D9">
        <v>219</v>
      </c>
      <c r="E9">
        <v>10950</v>
      </c>
      <c r="F9">
        <f>RANK(D9,$D$3:$D$46)</f>
        <v>32</v>
      </c>
    </row>
    <row r="10" spans="1:6" ht="15.75" outlineLevel="2" x14ac:dyDescent="0.25">
      <c r="A10" t="s">
        <v>27</v>
      </c>
      <c r="B10" t="s">
        <v>26</v>
      </c>
      <c r="C10">
        <v>2</v>
      </c>
      <c r="D10">
        <v>211</v>
      </c>
      <c r="E10">
        <v>10550</v>
      </c>
      <c r="F10">
        <f>RANK(D10,$D$3:$D$46)</f>
        <v>36</v>
      </c>
    </row>
    <row r="11" spans="1:6" ht="15.75" outlineLevel="2" x14ac:dyDescent="0.25">
      <c r="A11" t="s">
        <v>27</v>
      </c>
      <c r="B11" t="s">
        <v>26</v>
      </c>
      <c r="C11">
        <v>3</v>
      </c>
      <c r="D11">
        <v>218</v>
      </c>
      <c r="E11">
        <v>10900</v>
      </c>
      <c r="F11">
        <f>RANK(D11,$D$3:$D$46)</f>
        <v>33</v>
      </c>
    </row>
    <row r="12" spans="1:6" ht="15.75" outlineLevel="2" x14ac:dyDescent="0.25">
      <c r="A12" t="s">
        <v>27</v>
      </c>
      <c r="B12" t="s">
        <v>26</v>
      </c>
      <c r="C12">
        <v>1</v>
      </c>
      <c r="D12">
        <v>178</v>
      </c>
      <c r="E12">
        <v>8900</v>
      </c>
      <c r="F12">
        <f>RANK(D12,$D$3:$D$46)</f>
        <v>41</v>
      </c>
    </row>
    <row r="13" spans="1:6" ht="15.75" outlineLevel="2" x14ac:dyDescent="0.25">
      <c r="A13" t="s">
        <v>25</v>
      </c>
      <c r="B13" t="s">
        <v>26</v>
      </c>
      <c r="C13">
        <v>2</v>
      </c>
      <c r="D13">
        <v>435</v>
      </c>
      <c r="E13">
        <v>21750</v>
      </c>
      <c r="F13">
        <f>RANK(D13,$D$3:$D$46)</f>
        <v>7</v>
      </c>
    </row>
    <row r="14" spans="1:6" ht="15.75" outlineLevel="2" x14ac:dyDescent="0.25">
      <c r="A14" t="s">
        <v>25</v>
      </c>
      <c r="B14" t="s">
        <v>26</v>
      </c>
      <c r="C14">
        <v>3</v>
      </c>
      <c r="D14">
        <v>324</v>
      </c>
      <c r="E14">
        <v>16200</v>
      </c>
      <c r="F14">
        <f>RANK(D14,$D$3:$D$46)</f>
        <v>19</v>
      </c>
    </row>
    <row r="15" spans="1:6" ht="15.75" outlineLevel="2" x14ac:dyDescent="0.25">
      <c r="A15" t="s">
        <v>25</v>
      </c>
      <c r="B15" t="s">
        <v>26</v>
      </c>
      <c r="C15">
        <v>4</v>
      </c>
      <c r="D15">
        <v>287</v>
      </c>
      <c r="E15">
        <v>14350</v>
      </c>
      <c r="F15">
        <f>RANK(D15,$D$3:$D$46)</f>
        <v>26</v>
      </c>
    </row>
    <row r="16" spans="1:6" ht="15.75" outlineLevel="2" x14ac:dyDescent="0.25">
      <c r="A16" t="s">
        <v>25</v>
      </c>
      <c r="B16" t="s">
        <v>26</v>
      </c>
      <c r="C16">
        <v>1</v>
      </c>
      <c r="D16">
        <v>569</v>
      </c>
      <c r="E16">
        <v>28450</v>
      </c>
      <c r="F16">
        <f>RANK(D16,$D$3:$D$46)</f>
        <v>5</v>
      </c>
    </row>
    <row r="17" spans="1:6" outlineLevel="1" x14ac:dyDescent="0.15">
      <c r="B17" s="6" t="s">
        <v>29</v>
      </c>
      <c r="D17">
        <f>SUBTOTAL(9,D3:D16)</f>
        <v>3840</v>
      </c>
    </row>
    <row r="18" spans="1:6" ht="15.75" outlineLevel="2" x14ac:dyDescent="0.25">
      <c r="A18" t="s">
        <v>23</v>
      </c>
      <c r="B18" t="s">
        <v>24</v>
      </c>
      <c r="C18">
        <v>2</v>
      </c>
      <c r="D18">
        <v>321</v>
      </c>
      <c r="E18">
        <v>9630</v>
      </c>
      <c r="F18">
        <f>RANK(D18,$D$3:$D$46)</f>
        <v>22</v>
      </c>
    </row>
    <row r="19" spans="1:6" ht="15.75" outlineLevel="2" x14ac:dyDescent="0.25">
      <c r="A19" t="s">
        <v>23</v>
      </c>
      <c r="B19" t="s">
        <v>24</v>
      </c>
      <c r="C19">
        <v>4</v>
      </c>
      <c r="D19">
        <v>432</v>
      </c>
      <c r="E19">
        <v>12960</v>
      </c>
      <c r="F19">
        <f>RANK(D19,$D$3:$D$46)</f>
        <v>9</v>
      </c>
    </row>
    <row r="20" spans="1:6" ht="15.75" outlineLevel="2" x14ac:dyDescent="0.25">
      <c r="A20" t="s">
        <v>23</v>
      </c>
      <c r="B20" t="s">
        <v>24</v>
      </c>
      <c r="C20">
        <v>1</v>
      </c>
      <c r="D20">
        <v>306</v>
      </c>
      <c r="E20">
        <v>9180</v>
      </c>
      <c r="F20">
        <f>RANK(D20,$D$3:$D$46)</f>
        <v>24</v>
      </c>
    </row>
    <row r="21" spans="1:6" ht="15.75" outlineLevel="2" x14ac:dyDescent="0.25">
      <c r="A21" t="s">
        <v>23</v>
      </c>
      <c r="B21" t="s">
        <v>24</v>
      </c>
      <c r="C21">
        <v>3</v>
      </c>
      <c r="D21">
        <v>433</v>
      </c>
      <c r="E21">
        <v>12990</v>
      </c>
      <c r="F21">
        <f>RANK(D21,$D$3:$D$46)</f>
        <v>8</v>
      </c>
    </row>
    <row r="22" spans="1:6" ht="15.75" outlineLevel="2" x14ac:dyDescent="0.25">
      <c r="A22" t="s">
        <v>27</v>
      </c>
      <c r="B22" t="s">
        <v>24</v>
      </c>
      <c r="C22">
        <v>1</v>
      </c>
      <c r="D22">
        <v>221</v>
      </c>
      <c r="E22">
        <v>6630</v>
      </c>
      <c r="F22">
        <f>RANK(D22,$D$3:$D$46)</f>
        <v>31</v>
      </c>
    </row>
    <row r="23" spans="1:6" ht="15.75" outlineLevel="2" x14ac:dyDescent="0.25">
      <c r="A23" t="s">
        <v>27</v>
      </c>
      <c r="B23" t="s">
        <v>24</v>
      </c>
      <c r="C23">
        <v>2</v>
      </c>
      <c r="D23">
        <v>312</v>
      </c>
      <c r="E23">
        <v>9360</v>
      </c>
      <c r="F23">
        <f>RANK(D23,$D$3:$D$46)</f>
        <v>23</v>
      </c>
    </row>
    <row r="24" spans="1:6" ht="15.75" outlineLevel="2" x14ac:dyDescent="0.25">
      <c r="A24" t="s">
        <v>27</v>
      </c>
      <c r="B24" t="s">
        <v>24</v>
      </c>
      <c r="C24">
        <v>4</v>
      </c>
      <c r="D24">
        <v>421</v>
      </c>
      <c r="E24">
        <v>12630</v>
      </c>
      <c r="F24">
        <f>RANK(D24,$D$3:$D$46)</f>
        <v>10</v>
      </c>
    </row>
    <row r="25" spans="1:6" ht="15.75" outlineLevel="2" x14ac:dyDescent="0.25">
      <c r="A25" t="s">
        <v>27</v>
      </c>
      <c r="B25" t="s">
        <v>24</v>
      </c>
      <c r="C25">
        <v>3</v>
      </c>
      <c r="D25">
        <v>543</v>
      </c>
      <c r="E25">
        <v>16290</v>
      </c>
      <c r="F25">
        <f>RANK(D25,$D$3:$D$46)</f>
        <v>6</v>
      </c>
    </row>
    <row r="26" spans="1:6" ht="15.75" outlineLevel="2" x14ac:dyDescent="0.25">
      <c r="A26" t="s">
        <v>25</v>
      </c>
      <c r="B26" t="s">
        <v>24</v>
      </c>
      <c r="C26">
        <v>4</v>
      </c>
      <c r="D26">
        <v>342</v>
      </c>
      <c r="E26">
        <v>10260</v>
      </c>
      <c r="F26">
        <f>RANK(D26,$D$3:$D$46)</f>
        <v>17</v>
      </c>
    </row>
    <row r="27" spans="1:6" ht="15.75" outlineLevel="2" x14ac:dyDescent="0.25">
      <c r="A27" t="s">
        <v>25</v>
      </c>
      <c r="B27" t="s">
        <v>24</v>
      </c>
      <c r="C27">
        <v>3</v>
      </c>
      <c r="D27">
        <v>365</v>
      </c>
      <c r="E27">
        <v>10950</v>
      </c>
      <c r="F27">
        <f>RANK(D27,$D$3:$D$46)</f>
        <v>14</v>
      </c>
    </row>
    <row r="28" spans="1:6" ht="15.75" outlineLevel="2" x14ac:dyDescent="0.25">
      <c r="A28" t="s">
        <v>25</v>
      </c>
      <c r="B28" t="s">
        <v>24</v>
      </c>
      <c r="C28">
        <v>2</v>
      </c>
      <c r="D28">
        <v>654</v>
      </c>
      <c r="E28">
        <v>19620</v>
      </c>
      <c r="F28">
        <f>RANK(D28,$D$3:$D$46)</f>
        <v>4</v>
      </c>
    </row>
    <row r="29" spans="1:6" ht="15.75" outlineLevel="2" x14ac:dyDescent="0.25">
      <c r="A29" t="s">
        <v>25</v>
      </c>
      <c r="B29" t="s">
        <v>24</v>
      </c>
      <c r="C29">
        <v>1</v>
      </c>
      <c r="D29">
        <v>765</v>
      </c>
      <c r="E29">
        <v>22950</v>
      </c>
      <c r="F29">
        <f>RANK(D29,$D$3:$D$46)</f>
        <v>3</v>
      </c>
    </row>
    <row r="30" spans="1:6" outlineLevel="1" x14ac:dyDescent="0.15">
      <c r="B30" s="6" t="s">
        <v>30</v>
      </c>
      <c r="D30">
        <f>SUBTOTAL(9,D18:D29)</f>
        <v>5115</v>
      </c>
    </row>
    <row r="31" spans="1:6" ht="15.75" outlineLevel="2" x14ac:dyDescent="0.25">
      <c r="A31" t="s">
        <v>21</v>
      </c>
      <c r="B31" t="s">
        <v>22</v>
      </c>
      <c r="C31">
        <v>3</v>
      </c>
      <c r="D31">
        <v>124</v>
      </c>
      <c r="E31">
        <v>8680</v>
      </c>
      <c r="F31">
        <f>RANK(D31,$D$3:$D$46)</f>
        <v>44</v>
      </c>
    </row>
    <row r="32" spans="1:6" ht="15.75" outlineLevel="2" x14ac:dyDescent="0.25">
      <c r="A32" t="s">
        <v>23</v>
      </c>
      <c r="B32" t="s">
        <v>28</v>
      </c>
      <c r="C32">
        <v>4</v>
      </c>
      <c r="D32">
        <v>157</v>
      </c>
      <c r="E32">
        <v>10990</v>
      </c>
      <c r="F32">
        <f>RANK(D32,$D$3:$D$46)</f>
        <v>43</v>
      </c>
    </row>
    <row r="33" spans="1:6" ht="15.75" outlineLevel="2" x14ac:dyDescent="0.25">
      <c r="A33" t="s">
        <v>23</v>
      </c>
      <c r="B33" t="s">
        <v>28</v>
      </c>
      <c r="C33">
        <v>2</v>
      </c>
      <c r="D33">
        <v>345</v>
      </c>
      <c r="E33">
        <v>24150</v>
      </c>
      <c r="F33">
        <f>RANK(D33,$D$3:$D$46)</f>
        <v>15</v>
      </c>
    </row>
    <row r="34" spans="1:6" ht="15.75" outlineLevel="2" x14ac:dyDescent="0.25">
      <c r="A34" t="s">
        <v>23</v>
      </c>
      <c r="B34" t="s">
        <v>28</v>
      </c>
      <c r="C34">
        <v>1</v>
      </c>
      <c r="D34">
        <v>212</v>
      </c>
      <c r="E34">
        <v>14840</v>
      </c>
      <c r="F34">
        <f>RANK(D34,$D$3:$D$46)</f>
        <v>35</v>
      </c>
    </row>
    <row r="35" spans="1:6" ht="15.75" outlineLevel="2" x14ac:dyDescent="0.25">
      <c r="A35" t="s">
        <v>23</v>
      </c>
      <c r="B35" t="s">
        <v>28</v>
      </c>
      <c r="C35">
        <v>3</v>
      </c>
      <c r="D35">
        <v>378</v>
      </c>
      <c r="E35">
        <v>26460</v>
      </c>
      <c r="F35">
        <f>RANK(D35,$D$3:$D$46)</f>
        <v>13</v>
      </c>
    </row>
    <row r="36" spans="1:6" ht="15.75" outlineLevel="2" x14ac:dyDescent="0.25">
      <c r="A36" t="s">
        <v>23</v>
      </c>
      <c r="B36" t="s">
        <v>28</v>
      </c>
      <c r="C36">
        <v>4</v>
      </c>
      <c r="D36">
        <v>324</v>
      </c>
      <c r="E36">
        <v>22680</v>
      </c>
      <c r="F36">
        <f>RANK(D36,$D$3:$D$46)</f>
        <v>19</v>
      </c>
    </row>
    <row r="37" spans="1:6" ht="15.75" outlineLevel="2" x14ac:dyDescent="0.25">
      <c r="A37" t="s">
        <v>27</v>
      </c>
      <c r="B37" t="s">
        <v>28</v>
      </c>
      <c r="C37">
        <v>2</v>
      </c>
      <c r="D37">
        <v>256</v>
      </c>
      <c r="E37">
        <v>17920</v>
      </c>
      <c r="F37">
        <f>RANK(D37,$D$3:$D$46)</f>
        <v>28</v>
      </c>
    </row>
    <row r="38" spans="1:6" ht="15.75" outlineLevel="2" x14ac:dyDescent="0.25">
      <c r="A38" t="s">
        <v>27</v>
      </c>
      <c r="B38" t="s">
        <v>28</v>
      </c>
      <c r="C38">
        <v>4</v>
      </c>
      <c r="D38">
        <v>196</v>
      </c>
      <c r="E38">
        <v>13720</v>
      </c>
      <c r="F38">
        <f>RANK(D38,$D$3:$D$46)</f>
        <v>38</v>
      </c>
    </row>
    <row r="39" spans="1:6" ht="15.75" outlineLevel="2" x14ac:dyDescent="0.25">
      <c r="A39" t="s">
        <v>27</v>
      </c>
      <c r="B39" t="s">
        <v>28</v>
      </c>
      <c r="C39">
        <v>3</v>
      </c>
      <c r="D39">
        <v>234</v>
      </c>
      <c r="E39">
        <v>16380</v>
      </c>
      <c r="F39">
        <f>RANK(D39,$D$3:$D$46)</f>
        <v>30</v>
      </c>
    </row>
    <row r="40" spans="1:6" ht="15.75" outlineLevel="2" x14ac:dyDescent="0.25">
      <c r="A40" t="s">
        <v>27</v>
      </c>
      <c r="B40" t="s">
        <v>28</v>
      </c>
      <c r="C40">
        <v>1</v>
      </c>
      <c r="D40">
        <v>206</v>
      </c>
      <c r="E40">
        <v>14420</v>
      </c>
      <c r="F40">
        <f>RANK(D40,$D$3:$D$46)</f>
        <v>37</v>
      </c>
    </row>
    <row r="41" spans="1:6" ht="15.75" outlineLevel="2" x14ac:dyDescent="0.25">
      <c r="A41" t="s">
        <v>27</v>
      </c>
      <c r="B41" t="s">
        <v>28</v>
      </c>
      <c r="C41">
        <v>4</v>
      </c>
      <c r="D41">
        <v>398</v>
      </c>
      <c r="E41">
        <v>27860</v>
      </c>
      <c r="F41">
        <f>RANK(D41,$D$3:$D$46)</f>
        <v>12</v>
      </c>
    </row>
    <row r="42" spans="1:6" ht="15.75" outlineLevel="2" x14ac:dyDescent="0.25">
      <c r="A42" t="s">
        <v>25</v>
      </c>
      <c r="B42" t="s">
        <v>28</v>
      </c>
      <c r="C42">
        <v>4</v>
      </c>
      <c r="D42">
        <v>187</v>
      </c>
      <c r="E42">
        <v>13090</v>
      </c>
      <c r="F42">
        <f>RANK(D42,$D$3:$D$46)</f>
        <v>40</v>
      </c>
    </row>
    <row r="43" spans="1:6" ht="15.75" outlineLevel="2" x14ac:dyDescent="0.25">
      <c r="A43" t="s">
        <v>25</v>
      </c>
      <c r="B43" t="s">
        <v>28</v>
      </c>
      <c r="C43">
        <v>3</v>
      </c>
      <c r="D43">
        <v>323</v>
      </c>
      <c r="E43">
        <v>22610</v>
      </c>
      <c r="F43">
        <f>RANK(D43,$D$3:$D$46)</f>
        <v>21</v>
      </c>
    </row>
    <row r="44" spans="1:6" ht="15.75" outlineLevel="2" x14ac:dyDescent="0.25">
      <c r="A44" t="s">
        <v>25</v>
      </c>
      <c r="B44" t="s">
        <v>28</v>
      </c>
      <c r="C44">
        <v>1</v>
      </c>
      <c r="D44">
        <v>345</v>
      </c>
      <c r="E44">
        <v>24150</v>
      </c>
      <c r="F44">
        <f>RANK(D44,$D$3:$D$46)</f>
        <v>15</v>
      </c>
    </row>
    <row r="45" spans="1:6" ht="15.75" outlineLevel="2" x14ac:dyDescent="0.25">
      <c r="A45" t="s">
        <v>25</v>
      </c>
      <c r="B45" t="s">
        <v>28</v>
      </c>
      <c r="C45">
        <v>2</v>
      </c>
      <c r="D45">
        <v>412</v>
      </c>
      <c r="E45">
        <v>28840</v>
      </c>
      <c r="F45">
        <f>RANK(D45,$D$3:$D$46)</f>
        <v>11</v>
      </c>
    </row>
    <row r="46" spans="1:6" ht="15.75" outlineLevel="2" x14ac:dyDescent="0.25">
      <c r="A46" t="s">
        <v>25</v>
      </c>
      <c r="B46" t="s">
        <v>28</v>
      </c>
      <c r="C46">
        <v>4</v>
      </c>
      <c r="D46">
        <v>329</v>
      </c>
      <c r="E46">
        <v>23030</v>
      </c>
      <c r="F46">
        <f>RANK(D46,$D$3:$D$46)</f>
        <v>18</v>
      </c>
    </row>
    <row r="47" spans="1:6" outlineLevel="1" x14ac:dyDescent="0.15">
      <c r="B47" s="6" t="s">
        <v>31</v>
      </c>
      <c r="D47">
        <f>SUBTOTAL(9,D31:D46)</f>
        <v>4426</v>
      </c>
    </row>
    <row r="48" spans="1:6" x14ac:dyDescent="0.15">
      <c r="B48" s="6" t="s">
        <v>32</v>
      </c>
      <c r="D48">
        <f>SUBTOTAL(9,D3:D46)</f>
        <v>13381</v>
      </c>
    </row>
  </sheetData>
  <sortState ref="A3:F44">
    <sortCondition descending="1" ref="B3:B44"/>
    <sortCondition descending="1" ref="A3:A44"/>
  </sortState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平均气温统计表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2005-08-26T00:13:01Z</dcterms:created>
  <dcterms:modified xsi:type="dcterms:W3CDTF">2013-07-23T03:46:30Z</dcterms:modified>
</cp:coreProperties>
</file>
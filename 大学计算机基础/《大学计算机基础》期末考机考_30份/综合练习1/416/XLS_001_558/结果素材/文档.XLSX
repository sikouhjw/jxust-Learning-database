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 activeTab="1"/>
  </bookViews>
  <sheets>
    <sheet name="股票行情表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15" i="2" l="1"/>
  <c r="F15" i="2"/>
  <c r="G15" i="2"/>
  <c r="H15" i="2"/>
  <c r="I15" i="2"/>
  <c r="J15" i="2"/>
  <c r="E14" i="2"/>
  <c r="F14" i="2"/>
  <c r="G14" i="2"/>
  <c r="H14" i="2"/>
  <c r="I14" i="2"/>
  <c r="J14" i="2"/>
  <c r="D15" i="2"/>
  <c r="D14" i="2"/>
</calcChain>
</file>

<file path=xl/comments1.xml><?xml version="1.0" encoding="utf-8"?>
<comments xmlns="http://schemas.openxmlformats.org/spreadsheetml/2006/main">
  <authors>
    <author>wwjt</author>
  </authors>
  <commentList>
    <comment ref="E7" authorId="0">
      <text>
        <r>
          <rPr>
            <sz val="9"/>
            <color indexed="81"/>
            <rFont val="宋体"/>
            <charset val="134"/>
          </rPr>
          <t>特别行政区</t>
        </r>
      </text>
    </comment>
  </commentList>
</comments>
</file>

<file path=xl/sharedStrings.xml><?xml version="1.0" encoding="utf-8"?>
<sst xmlns="http://schemas.openxmlformats.org/spreadsheetml/2006/main" count="37" uniqueCount="31">
  <si>
    <t>朝阳集团股票行情</t>
    <phoneticPr fontId="1" type="noConversion"/>
  </si>
  <si>
    <t>日期</t>
    <phoneticPr fontId="1" type="noConversion"/>
  </si>
  <si>
    <t>开盘价</t>
    <phoneticPr fontId="1" type="noConversion"/>
  </si>
  <si>
    <t>最高价</t>
    <phoneticPr fontId="1" type="noConversion"/>
  </si>
  <si>
    <t>最低价</t>
    <phoneticPr fontId="1" type="noConversion"/>
  </si>
  <si>
    <r>
      <t xml:space="preserve">                                           </t>
    </r>
    <r>
      <rPr>
        <sz val="12"/>
        <rFont val="宋体"/>
        <charset val="134"/>
      </rPr>
      <t>世界各大城市一季度气温极值（℃</t>
    </r>
    <r>
      <rPr>
        <sz val="12"/>
        <rFont val="宋体"/>
        <charset val="134"/>
      </rPr>
      <t>）</t>
    </r>
    <phoneticPr fontId="1" type="noConversion"/>
  </si>
  <si>
    <t>月份</t>
    <phoneticPr fontId="1" type="noConversion"/>
  </si>
  <si>
    <r>
      <t>最高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最低</t>
    </r>
    <phoneticPr fontId="1" type="noConversion"/>
  </si>
  <si>
    <t>北京</t>
    <phoneticPr fontId="1" type="noConversion"/>
  </si>
  <si>
    <t>香港</t>
    <phoneticPr fontId="1" type="noConversion"/>
  </si>
  <si>
    <t>巴黎</t>
    <phoneticPr fontId="1" type="noConversion"/>
  </si>
  <si>
    <t>伦敦</t>
    <phoneticPr fontId="1" type="noConversion"/>
  </si>
  <si>
    <t>莫斯科</t>
    <phoneticPr fontId="1" type="noConversion"/>
  </si>
  <si>
    <t>纽约</t>
    <phoneticPr fontId="1" type="noConversion"/>
  </si>
  <si>
    <t>东京</t>
    <phoneticPr fontId="1" type="noConversion"/>
  </si>
  <si>
    <t>一月</t>
    <phoneticPr fontId="1" type="noConversion"/>
  </si>
  <si>
    <r>
      <t>最高</t>
    </r>
    <r>
      <rPr>
        <sz val="12"/>
        <rFont val="Times New Roman"/>
        <family val="1"/>
      </rPr>
      <t/>
    </r>
    <phoneticPr fontId="1" type="noConversion"/>
  </si>
  <si>
    <t>一月</t>
    <phoneticPr fontId="1" type="noConversion"/>
  </si>
  <si>
    <t>最低</t>
    <phoneticPr fontId="1" type="noConversion"/>
  </si>
  <si>
    <t>二月</t>
    <phoneticPr fontId="1" type="noConversion"/>
  </si>
  <si>
    <t>三月</t>
    <phoneticPr fontId="1" type="noConversion"/>
  </si>
  <si>
    <t>第一季度</t>
    <phoneticPr fontId="1" type="noConversion"/>
  </si>
  <si>
    <t>最高</t>
    <phoneticPr fontId="1" type="noConversion"/>
  </si>
  <si>
    <t>第一季度</t>
    <phoneticPr fontId="1" type="noConversion"/>
  </si>
  <si>
    <t>最低</t>
    <phoneticPr fontId="1" type="noConversion"/>
  </si>
  <si>
    <t>企业主要财务指标</t>
    <phoneticPr fontId="1" type="noConversion"/>
  </si>
  <si>
    <t>年度</t>
    <phoneticPr fontId="1" type="noConversion"/>
  </si>
  <si>
    <r>
      <t>净资产总额（</t>
    </r>
    <r>
      <rPr>
        <sz val="12"/>
        <rFont val="Times New Roman"/>
        <family val="1"/>
      </rPr>
      <t>/10</t>
    </r>
    <r>
      <rPr>
        <sz val="12"/>
        <rFont val="宋体"/>
        <charset val="134"/>
      </rPr>
      <t>万）</t>
    </r>
    <phoneticPr fontId="1" type="noConversion"/>
  </si>
  <si>
    <r>
      <t>净利润（</t>
    </r>
    <r>
      <rPr>
        <sz val="12"/>
        <rFont val="Times New Roman"/>
        <family val="1"/>
      </rPr>
      <t>/10</t>
    </r>
    <r>
      <rPr>
        <sz val="12"/>
        <rFont val="宋体"/>
        <charset val="134"/>
      </rPr>
      <t>万）</t>
    </r>
    <phoneticPr fontId="1" type="noConversion"/>
  </si>
  <si>
    <r>
      <t>净资产收益率（</t>
    </r>
    <r>
      <rPr>
        <sz val="12"/>
        <rFont val="Times New Roman"/>
        <family val="1"/>
      </rPr>
      <t>%</t>
    </r>
    <r>
      <rPr>
        <sz val="12"/>
        <rFont val="宋体"/>
        <charset val="134"/>
      </rPr>
      <t>）</t>
    </r>
    <phoneticPr fontId="1" type="noConversion"/>
  </si>
  <si>
    <r>
      <t>产销率（</t>
    </r>
    <r>
      <rPr>
        <sz val="12"/>
        <rFont val="Times New Roman"/>
        <family val="1"/>
      </rPr>
      <t>%</t>
    </r>
    <r>
      <rPr>
        <sz val="12"/>
        <rFont val="宋体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</si>
</sst>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9"/>
      <color indexed="81"/>
      <name val="宋体"/>
      <charset val="13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thick">
        <color indexed="64"/>
      </right>
      <top style="double">
        <color indexed="64"/>
      </top>
      <bottom style="dashed">
        <color indexed="64"/>
      </bottom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thick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ck">
        <color indexed="64"/>
      </bottom>
      <diagonal/>
    </border>
    <border>
      <left style="dashed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4" fontId="0" fillId="0" borderId="5" xfId="0" applyNumberFormat="1" applyBorder="1"/>
    <xf numFmtId="4" fontId="0" fillId="0" borderId="6" xfId="0" applyNumberFormat="1" applyBorder="1"/>
    <xf numFmtId="4" fontId="0" fillId="0" borderId="8" xfId="0" applyNumberFormat="1" applyBorder="1"/>
    <xf numFmtId="4" fontId="0" fillId="0" borderId="9" xfId="0" applyNumberFormat="1" applyBorder="1"/>
    <xf numFmtId="4" fontId="0" fillId="0" borderId="11" xfId="0" applyNumberFormat="1" applyBorder="1"/>
    <xf numFmtId="4" fontId="0" fillId="0" borderId="12" xfId="0" applyNumberFormat="1" applyBorder="1"/>
    <xf numFmtId="0" fontId="0" fillId="0" borderId="14" xfId="0" applyBorder="1"/>
    <xf numFmtId="0" fontId="0" fillId="0" borderId="15" xfId="0" applyBorder="1"/>
    <xf numFmtId="4" fontId="0" fillId="0" borderId="0" xfId="0" applyNumberFormat="1" applyBorder="1"/>
    <xf numFmtId="4" fontId="0" fillId="0" borderId="16" xfId="0" applyNumberFormat="1" applyBorder="1"/>
    <xf numFmtId="4" fontId="2" fillId="0" borderId="0" xfId="0" applyNumberFormat="1" applyFont="1" applyBorder="1"/>
    <xf numFmtId="0" fontId="0" fillId="0" borderId="17" xfId="0" applyBorder="1"/>
    <xf numFmtId="4" fontId="0" fillId="0" borderId="13" xfId="0" applyNumberFormat="1" applyBorder="1"/>
    <xf numFmtId="4" fontId="0" fillId="0" borderId="18" xfId="0" applyNumberFormat="1" applyBorder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/>
    <xf numFmtId="0" fontId="0" fillId="0" borderId="0" xfId="0" applyAlignment="1"/>
    <xf numFmtId="0" fontId="0" fillId="0" borderId="13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企业财务状况表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Sheet3!$B$7</c:f>
              <c:strCache>
                <c:ptCount val="1"/>
                <c:pt idx="0">
                  <c:v>年度</c:v>
                </c:pt>
              </c:strCache>
            </c:strRef>
          </c:tx>
          <c:invertIfNegative val="0"/>
          <c:val>
            <c:numRef>
              <c:f>Sheet3!$C$7:$H$7</c:f>
              <c:numCache>
                <c:formatCode>General</c:formatCode>
                <c:ptCount val="6"/>
                <c:pt idx="0">
                  <c:v>92</c:v>
                </c:pt>
                <c:pt idx="1">
                  <c:v>93</c:v>
                </c:pt>
                <c:pt idx="2">
                  <c:v>94</c:v>
                </c:pt>
                <c:pt idx="3">
                  <c:v>95</c:v>
                </c:pt>
                <c:pt idx="4">
                  <c:v>96</c:v>
                </c:pt>
                <c:pt idx="5">
                  <c:v>97</c:v>
                </c:pt>
              </c:numCache>
            </c:numRef>
          </c:val>
        </c:ser>
        <c:ser>
          <c:idx val="1"/>
          <c:order val="1"/>
          <c:tx>
            <c:strRef>
              <c:f>Sheet3!$B$8</c:f>
              <c:strCache>
                <c:ptCount val="1"/>
                <c:pt idx="0">
                  <c:v>净资产总额（/10万）</c:v>
                </c:pt>
              </c:strCache>
            </c:strRef>
          </c:tx>
          <c:invertIfNegative val="0"/>
          <c:val>
            <c:numRef>
              <c:f>Sheet3!$C$8:$H$8</c:f>
              <c:numCache>
                <c:formatCode>#,##0.00</c:formatCode>
                <c:ptCount val="6"/>
                <c:pt idx="0">
                  <c:v>50</c:v>
                </c:pt>
                <c:pt idx="1">
                  <c:v>64</c:v>
                </c:pt>
                <c:pt idx="2">
                  <c:v>75</c:v>
                </c:pt>
                <c:pt idx="3">
                  <c:v>88</c:v>
                </c:pt>
                <c:pt idx="4">
                  <c:v>96</c:v>
                </c:pt>
                <c:pt idx="5">
                  <c:v>118</c:v>
                </c:pt>
              </c:numCache>
            </c:numRef>
          </c:val>
        </c:ser>
        <c:ser>
          <c:idx val="2"/>
          <c:order val="2"/>
          <c:tx>
            <c:strRef>
              <c:f>Sheet3!$B$9</c:f>
              <c:strCache>
                <c:ptCount val="1"/>
                <c:pt idx="0">
                  <c:v>净利润（/10万）</c:v>
                </c:pt>
              </c:strCache>
            </c:strRef>
          </c:tx>
          <c:invertIfNegative val="0"/>
          <c:val>
            <c:numRef>
              <c:f>Sheet3!$C$9:$H$9</c:f>
              <c:numCache>
                <c:formatCode>#,##0.00</c:formatCode>
                <c:ptCount val="6"/>
                <c:pt idx="0">
                  <c:v>12</c:v>
                </c:pt>
                <c:pt idx="1">
                  <c:v>15</c:v>
                </c:pt>
                <c:pt idx="2">
                  <c:v>20</c:v>
                </c:pt>
                <c:pt idx="3">
                  <c:v>23</c:v>
                </c:pt>
                <c:pt idx="4">
                  <c:v>30</c:v>
                </c:pt>
                <c:pt idx="5">
                  <c:v>48</c:v>
                </c:pt>
              </c:numCache>
            </c:numRef>
          </c:val>
        </c:ser>
        <c:ser>
          <c:idx val="3"/>
          <c:order val="3"/>
          <c:tx>
            <c:strRef>
              <c:f>Sheet3!$B$10</c:f>
              <c:strCache>
                <c:ptCount val="1"/>
                <c:pt idx="0">
                  <c:v>净资产收益率（%）</c:v>
                </c:pt>
              </c:strCache>
            </c:strRef>
          </c:tx>
          <c:invertIfNegative val="0"/>
          <c:val>
            <c:numRef>
              <c:f>Sheet3!$C$10:$H$10</c:f>
              <c:numCache>
                <c:formatCode>#,##0.00</c:formatCode>
                <c:ptCount val="6"/>
                <c:pt idx="0">
                  <c:v>24</c:v>
                </c:pt>
                <c:pt idx="1">
                  <c:v>24.44</c:v>
                </c:pt>
                <c:pt idx="2">
                  <c:v>26.67</c:v>
                </c:pt>
                <c:pt idx="3">
                  <c:v>26.14</c:v>
                </c:pt>
                <c:pt idx="4">
                  <c:v>31.25</c:v>
                </c:pt>
                <c:pt idx="5">
                  <c:v>40.68</c:v>
                </c:pt>
              </c:numCache>
            </c:numRef>
          </c:val>
        </c:ser>
        <c:ser>
          <c:idx val="4"/>
          <c:order val="4"/>
          <c:tx>
            <c:strRef>
              <c:f>Sheet3!$B$11</c:f>
              <c:strCache>
                <c:ptCount val="1"/>
                <c:pt idx="0">
                  <c:v>产销率（%）</c:v>
                </c:pt>
              </c:strCache>
            </c:strRef>
          </c:tx>
          <c:invertIfNegative val="0"/>
          <c:val>
            <c:numRef>
              <c:f>Sheet3!$C$11:$H$11</c:f>
              <c:numCache>
                <c:formatCode>#,##0.00</c:formatCode>
                <c:ptCount val="6"/>
                <c:pt idx="0">
                  <c:v>55</c:v>
                </c:pt>
                <c:pt idx="1">
                  <c:v>70</c:v>
                </c:pt>
                <c:pt idx="2">
                  <c:v>62</c:v>
                </c:pt>
                <c:pt idx="3">
                  <c:v>68</c:v>
                </c:pt>
                <c:pt idx="4">
                  <c:v>85</c:v>
                </c:pt>
                <c:pt idx="5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731392"/>
        <c:axId val="82732928"/>
        <c:axId val="0"/>
      </c:bar3DChart>
      <c:catAx>
        <c:axId val="82731392"/>
        <c:scaling>
          <c:orientation val="minMax"/>
        </c:scaling>
        <c:delete val="0"/>
        <c:axPos val="l"/>
        <c:majorTickMark val="out"/>
        <c:minorTickMark val="none"/>
        <c:tickLblPos val="nextTo"/>
        <c:crossAx val="82732928"/>
        <c:crosses val="autoZero"/>
        <c:auto val="1"/>
        <c:lblAlgn val="ctr"/>
        <c:lblOffset val="100"/>
        <c:noMultiLvlLbl val="0"/>
      </c:catAx>
      <c:valAx>
        <c:axId val="82732928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82731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585787</xdr:colOff>
      <xdr:row>12</xdr:row>
      <xdr:rowOff>9525</xdr:rowOff>
    </xdr:from>
    <xdr:to>
      <xdr:col>7</xdr:col>
      <xdr:colOff>157162</xdr:colOff>
      <xdr:row>27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18"/>
  <sheetViews>
    <sheetView workbookViewId="0">
      <selection activeCell="D19" sqref="D19"/>
    </sheetView>
  </sheetViews>
  <sheetFormatPr defaultRowHeight="14.25" x14ac:dyDescent="0.15"/>
  <sheetData>
    <row r="6" spans="2:5" ht="15" thickBot="1" x14ac:dyDescent="0.2">
      <c r="B6" s="21" t="s">
        <v>0</v>
      </c>
      <c r="C6" s="21"/>
      <c r="D6" s="21"/>
      <c r="E6" s="21"/>
    </row>
    <row r="7" spans="2:5" ht="15.75" thickTop="1" thickBot="1" x14ac:dyDescent="0.2">
      <c r="B7" s="1" t="s">
        <v>1</v>
      </c>
      <c r="C7" s="2" t="s">
        <v>2</v>
      </c>
      <c r="D7" s="2" t="s">
        <v>3</v>
      </c>
      <c r="E7" s="3" t="s">
        <v>4</v>
      </c>
    </row>
    <row r="8" spans="2:5" ht="15" thickTop="1" x14ac:dyDescent="0.15">
      <c r="B8" s="18">
        <v>6</v>
      </c>
      <c r="C8" s="4">
        <v>15.35</v>
      </c>
      <c r="D8" s="4">
        <v>16.170000000000002</v>
      </c>
      <c r="E8" s="5">
        <v>15.12</v>
      </c>
    </row>
    <row r="9" spans="2:5" x14ac:dyDescent="0.15">
      <c r="B9" s="19">
        <v>7</v>
      </c>
      <c r="C9" s="6">
        <v>15.56</v>
      </c>
      <c r="D9" s="6">
        <v>15.79</v>
      </c>
      <c r="E9" s="7">
        <v>15.11</v>
      </c>
    </row>
    <row r="10" spans="2:5" x14ac:dyDescent="0.15">
      <c r="B10" s="19">
        <v>8</v>
      </c>
      <c r="C10" s="6">
        <v>15.39</v>
      </c>
      <c r="D10" s="6">
        <v>16.66</v>
      </c>
      <c r="E10" s="7">
        <v>15.58</v>
      </c>
    </row>
    <row r="11" spans="2:5" x14ac:dyDescent="0.15">
      <c r="B11" s="19">
        <v>9</v>
      </c>
      <c r="C11" s="6">
        <v>15.85</v>
      </c>
      <c r="D11" s="6">
        <v>16.850000000000001</v>
      </c>
      <c r="E11" s="7">
        <v>15.63</v>
      </c>
    </row>
    <row r="12" spans="2:5" x14ac:dyDescent="0.15">
      <c r="B12" s="19">
        <v>10</v>
      </c>
      <c r="C12" s="6">
        <v>16.16</v>
      </c>
      <c r="D12" s="6">
        <v>16.91</v>
      </c>
      <c r="E12" s="7">
        <v>15.86</v>
      </c>
    </row>
    <row r="13" spans="2:5" x14ac:dyDescent="0.15">
      <c r="B13" s="19">
        <v>13</v>
      </c>
      <c r="C13" s="6">
        <v>16.55</v>
      </c>
      <c r="D13" s="6">
        <v>16.760000000000002</v>
      </c>
      <c r="E13" s="7">
        <v>16.2</v>
      </c>
    </row>
    <row r="14" spans="2:5" x14ac:dyDescent="0.15">
      <c r="B14" s="19">
        <v>14</v>
      </c>
      <c r="C14" s="6">
        <v>16.62</v>
      </c>
      <c r="D14" s="6">
        <v>16.989999999999998</v>
      </c>
      <c r="E14" s="7">
        <v>16.25</v>
      </c>
    </row>
    <row r="15" spans="2:5" x14ac:dyDescent="0.15">
      <c r="B15" s="19">
        <v>15</v>
      </c>
      <c r="C15" s="6">
        <v>16.95</v>
      </c>
      <c r="D15" s="6">
        <v>17.190000000000001</v>
      </c>
      <c r="E15" s="7">
        <v>16.48</v>
      </c>
    </row>
    <row r="16" spans="2:5" x14ac:dyDescent="0.15">
      <c r="B16" s="19">
        <v>16</v>
      </c>
      <c r="C16" s="6">
        <v>16.87</v>
      </c>
      <c r="D16" s="6">
        <v>17.059999999999999</v>
      </c>
      <c r="E16" s="7">
        <v>16.739999999999998</v>
      </c>
    </row>
    <row r="17" spans="2:5" ht="15" thickBot="1" x14ac:dyDescent="0.2">
      <c r="B17" s="20">
        <v>17</v>
      </c>
      <c r="C17" s="8">
        <v>16.77</v>
      </c>
      <c r="D17" s="8">
        <v>16.920000000000002</v>
      </c>
      <c r="E17" s="9">
        <v>16.510000000000002</v>
      </c>
    </row>
    <row r="18" spans="2:5" ht="15" thickTop="1" x14ac:dyDescent="0.15"/>
  </sheetData>
  <mergeCells count="1">
    <mergeCell ref="B6:E6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6:J15"/>
  <sheetViews>
    <sheetView tabSelected="1" workbookViewId="0">
      <selection activeCell="E7" sqref="E7"/>
    </sheetView>
  </sheetViews>
  <sheetFormatPr defaultRowHeight="14.25" x14ac:dyDescent="0.15"/>
  <sheetData>
    <row r="6" spans="2:10" ht="15.75" x14ac:dyDescent="0.25">
      <c r="B6" s="22" t="s">
        <v>5</v>
      </c>
      <c r="C6" s="23"/>
      <c r="D6" s="23"/>
      <c r="E6" s="23"/>
      <c r="F6" s="23"/>
      <c r="G6" s="23"/>
      <c r="H6" s="23"/>
      <c r="I6" s="23"/>
      <c r="J6" s="23"/>
    </row>
    <row r="7" spans="2:10" ht="15.75" x14ac:dyDescent="0.25"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</row>
    <row r="8" spans="2:10" ht="15.75" customHeight="1" x14ac:dyDescent="0.15">
      <c r="B8" t="s">
        <v>17</v>
      </c>
      <c r="C8" t="s">
        <v>18</v>
      </c>
      <c r="D8">
        <v>-10</v>
      </c>
      <c r="E8">
        <v>13</v>
      </c>
      <c r="F8">
        <v>0</v>
      </c>
      <c r="G8">
        <v>2</v>
      </c>
      <c r="H8">
        <v>-16</v>
      </c>
      <c r="I8">
        <v>-3</v>
      </c>
      <c r="J8">
        <v>-1</v>
      </c>
    </row>
    <row r="9" spans="2:10" x14ac:dyDescent="0.15">
      <c r="B9" t="s">
        <v>19</v>
      </c>
      <c r="C9" t="s">
        <v>18</v>
      </c>
      <c r="D9">
        <v>-8</v>
      </c>
      <c r="E9">
        <v>13</v>
      </c>
      <c r="F9">
        <v>1</v>
      </c>
      <c r="G9">
        <v>2</v>
      </c>
      <c r="H9">
        <v>-13</v>
      </c>
      <c r="I9">
        <v>-2</v>
      </c>
      <c r="J9">
        <v>0</v>
      </c>
    </row>
    <row r="10" spans="2:10" ht="15.75" customHeight="1" x14ac:dyDescent="0.15">
      <c r="B10" t="s">
        <v>20</v>
      </c>
      <c r="C10" t="s">
        <v>18</v>
      </c>
      <c r="D10">
        <v>-1</v>
      </c>
      <c r="E10">
        <v>16</v>
      </c>
      <c r="F10">
        <v>2</v>
      </c>
      <c r="G10">
        <v>9</v>
      </c>
      <c r="H10">
        <v>-8</v>
      </c>
      <c r="I10">
        <v>1</v>
      </c>
      <c r="J10">
        <v>3</v>
      </c>
    </row>
    <row r="11" spans="2:10" ht="14.25" customHeight="1" x14ac:dyDescent="0.25">
      <c r="B11" t="s">
        <v>15</v>
      </c>
      <c r="C11" t="s">
        <v>16</v>
      </c>
      <c r="D11">
        <v>1</v>
      </c>
      <c r="E11">
        <v>18</v>
      </c>
      <c r="F11">
        <v>6</v>
      </c>
      <c r="G11">
        <v>7</v>
      </c>
      <c r="H11">
        <v>-9</v>
      </c>
      <c r="I11">
        <v>4</v>
      </c>
      <c r="J11">
        <v>9</v>
      </c>
    </row>
    <row r="12" spans="2:10" ht="15.75" x14ac:dyDescent="0.25">
      <c r="B12" t="s">
        <v>19</v>
      </c>
      <c r="C12" t="s">
        <v>16</v>
      </c>
      <c r="D12">
        <v>4</v>
      </c>
      <c r="E12">
        <v>17</v>
      </c>
      <c r="F12">
        <v>7</v>
      </c>
      <c r="G12">
        <v>7</v>
      </c>
      <c r="H12">
        <v>-5</v>
      </c>
      <c r="I12">
        <v>4</v>
      </c>
      <c r="J12">
        <v>10</v>
      </c>
    </row>
    <row r="13" spans="2:10" ht="14.25" customHeight="1" x14ac:dyDescent="0.25">
      <c r="B13" t="s">
        <v>20</v>
      </c>
      <c r="C13" t="s">
        <v>16</v>
      </c>
      <c r="D13">
        <v>11</v>
      </c>
      <c r="E13">
        <v>19</v>
      </c>
      <c r="F13">
        <v>11</v>
      </c>
      <c r="G13">
        <v>11</v>
      </c>
      <c r="H13">
        <v>0</v>
      </c>
      <c r="I13">
        <v>9</v>
      </c>
      <c r="J13">
        <v>13</v>
      </c>
    </row>
    <row r="14" spans="2:10" x14ac:dyDescent="0.15">
      <c r="B14" t="s">
        <v>21</v>
      </c>
      <c r="C14" t="s">
        <v>22</v>
      </c>
      <c r="D14">
        <f>MAX(D8:D13)</f>
        <v>11</v>
      </c>
      <c r="E14">
        <f t="shared" ref="E14:J14" si="0">MAX(E8:E13)</f>
        <v>19</v>
      </c>
      <c r="F14">
        <f t="shared" si="0"/>
        <v>11</v>
      </c>
      <c r="G14">
        <f t="shared" si="0"/>
        <v>11</v>
      </c>
      <c r="H14">
        <f t="shared" si="0"/>
        <v>0</v>
      </c>
      <c r="I14">
        <f t="shared" si="0"/>
        <v>9</v>
      </c>
      <c r="J14">
        <f t="shared" si="0"/>
        <v>13</v>
      </c>
    </row>
    <row r="15" spans="2:10" x14ac:dyDescent="0.15">
      <c r="B15" t="s">
        <v>23</v>
      </c>
      <c r="C15" t="s">
        <v>24</v>
      </c>
      <c r="D15">
        <f>MIN(D8:D13)</f>
        <v>-10</v>
      </c>
      <c r="E15">
        <f t="shared" ref="E15:J15" si="1">MIN(E8:E13)</f>
        <v>13</v>
      </c>
      <c r="F15">
        <f t="shared" si="1"/>
        <v>0</v>
      </c>
      <c r="G15">
        <f t="shared" si="1"/>
        <v>2</v>
      </c>
      <c r="H15">
        <f t="shared" si="1"/>
        <v>-16</v>
      </c>
      <c r="I15">
        <f t="shared" si="1"/>
        <v>-3</v>
      </c>
      <c r="J15">
        <f t="shared" si="1"/>
        <v>-1</v>
      </c>
    </row>
  </sheetData>
  <sortState ref="B8:J13">
    <sortCondition ref="J8:J13"/>
  </sortState>
  <mergeCells count="1">
    <mergeCell ref="B6:J6"/>
  </mergeCells>
  <phoneticPr fontId="1" type="noConversion"/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H12"/>
  <sheetViews>
    <sheetView workbookViewId="0">
      <selection activeCell="B7" sqref="B7:H11"/>
    </sheetView>
  </sheetViews>
  <sheetFormatPr defaultRowHeight="14.25" x14ac:dyDescent="0.15"/>
  <cols>
    <col min="2" max="2" width="20.625" customWidth="1"/>
  </cols>
  <sheetData>
    <row r="6" spans="2:8" ht="15" thickBot="1" x14ac:dyDescent="0.2">
      <c r="B6" s="24" t="s">
        <v>25</v>
      </c>
      <c r="C6" s="24"/>
      <c r="D6" s="24"/>
      <c r="E6" s="24"/>
      <c r="F6" s="24"/>
      <c r="G6" s="24"/>
      <c r="H6" s="24"/>
    </row>
    <row r="7" spans="2:8" ht="18" customHeight="1" thickTop="1" thickBot="1" x14ac:dyDescent="0.2">
      <c r="B7" s="10" t="s">
        <v>26</v>
      </c>
      <c r="C7" s="2">
        <v>92</v>
      </c>
      <c r="D7" s="2">
        <v>93</v>
      </c>
      <c r="E7" s="2">
        <v>94</v>
      </c>
      <c r="F7" s="2">
        <v>95</v>
      </c>
      <c r="G7" s="2">
        <v>96</v>
      </c>
      <c r="H7" s="3">
        <v>97</v>
      </c>
    </row>
    <row r="8" spans="2:8" ht="18" customHeight="1" thickTop="1" x14ac:dyDescent="0.25">
      <c r="B8" s="11" t="s">
        <v>27</v>
      </c>
      <c r="C8" s="12">
        <v>50</v>
      </c>
      <c r="D8" s="12">
        <v>64</v>
      </c>
      <c r="E8" s="12">
        <v>75</v>
      </c>
      <c r="F8" s="12">
        <v>88</v>
      </c>
      <c r="G8" s="12">
        <v>96</v>
      </c>
      <c r="H8" s="13">
        <v>118</v>
      </c>
    </row>
    <row r="9" spans="2:8" ht="18" customHeight="1" x14ac:dyDescent="0.25">
      <c r="B9" s="11" t="s">
        <v>28</v>
      </c>
      <c r="C9" s="12">
        <v>12</v>
      </c>
      <c r="D9" s="12">
        <v>15</v>
      </c>
      <c r="E9" s="12">
        <v>20</v>
      </c>
      <c r="F9" s="12">
        <v>23</v>
      </c>
      <c r="G9" s="12">
        <v>30</v>
      </c>
      <c r="H9" s="13">
        <v>48</v>
      </c>
    </row>
    <row r="10" spans="2:8" ht="18" customHeight="1" x14ac:dyDescent="0.25">
      <c r="B10" s="11" t="s">
        <v>29</v>
      </c>
      <c r="C10" s="12">
        <v>24</v>
      </c>
      <c r="D10" s="14">
        <v>24.44</v>
      </c>
      <c r="E10" s="12">
        <v>26.67</v>
      </c>
      <c r="F10" s="12">
        <v>26.14</v>
      </c>
      <c r="G10" s="12">
        <v>31.25</v>
      </c>
      <c r="H10" s="13">
        <v>40.68</v>
      </c>
    </row>
    <row r="11" spans="2:8" ht="18" customHeight="1" thickBot="1" x14ac:dyDescent="0.3">
      <c r="B11" s="15" t="s">
        <v>30</v>
      </c>
      <c r="C11" s="16">
        <v>55</v>
      </c>
      <c r="D11" s="16">
        <v>70</v>
      </c>
      <c r="E11" s="16">
        <v>62</v>
      </c>
      <c r="F11" s="16">
        <v>68</v>
      </c>
      <c r="G11" s="16">
        <v>85</v>
      </c>
      <c r="H11" s="17">
        <v>90</v>
      </c>
    </row>
    <row r="12" spans="2:8" ht="15" thickTop="1" x14ac:dyDescent="0.15"/>
  </sheetData>
  <mergeCells count="1">
    <mergeCell ref="B6:H6"/>
  </mergeCells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股票行情表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1996-12-17T01:32:42Z</dcterms:created>
  <dcterms:modified xsi:type="dcterms:W3CDTF">2015-10-16T05:27:17Z</dcterms:modified>
</cp:coreProperties>
</file>
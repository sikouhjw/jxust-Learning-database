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Sheet2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8" i="2" l="1"/>
  <c r="D8" i="2"/>
  <c r="E8" i="2"/>
  <c r="F8" i="2"/>
  <c r="B8" i="2"/>
</calcChain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<sst xmlns="http://schemas.openxmlformats.org/spreadsheetml/2006/main" count="13" uniqueCount="13">
  <si>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</si>
  <si>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</si>
  <si>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</si>
  <si>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</si>
  <si>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</si>
  <si>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</si>
  <si>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</si>
  <si>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</si>
  <si>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</si>
  <si>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</si>
  <si>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</si>
  <si>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</si>
  <si>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年平均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</si>
</sst>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中山陵和夫子庙客流量比较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中山陵</c:v>
                </c:pt>
              </c:strCache>
            </c:strRef>
          </c:tx>
          <c:cat>
            <c:strRef>
              <c:f>Sheet1!$B$2:$F$2</c:f>
              <c:strCache>
                <c:ptCount val="5"/>
                <c:pt idx="0">
                  <c:v>2005年</c:v>
                </c:pt>
                <c:pt idx="1">
                  <c:v>2006年</c:v>
                </c:pt>
                <c:pt idx="2">
                  <c:v>2007年</c:v>
                </c:pt>
                <c:pt idx="3">
                  <c:v>2008年</c:v>
                </c:pt>
                <c:pt idx="4">
                  <c:v>2009年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177</c:v>
                </c:pt>
                <c:pt idx="1">
                  <c:v>181</c:v>
                </c:pt>
                <c:pt idx="2">
                  <c:v>211</c:v>
                </c:pt>
                <c:pt idx="3">
                  <c:v>220</c:v>
                </c:pt>
                <c:pt idx="4">
                  <c:v>218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夫子庙</c:v>
                </c:pt>
              </c:strCache>
            </c:strRef>
          </c:tx>
          <c:cat>
            <c:strRef>
              <c:f>Sheet1!$B$2:$F$2</c:f>
              <c:strCache>
                <c:ptCount val="5"/>
                <c:pt idx="0">
                  <c:v>2005年</c:v>
                </c:pt>
                <c:pt idx="1">
                  <c:v>2006年</c:v>
                </c:pt>
                <c:pt idx="2">
                  <c:v>2007年</c:v>
                </c:pt>
                <c:pt idx="3">
                  <c:v>2008年</c:v>
                </c:pt>
                <c:pt idx="4">
                  <c:v>2009年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215</c:v>
                </c:pt>
                <c:pt idx="1">
                  <c:v>212</c:v>
                </c:pt>
                <c:pt idx="2">
                  <c:v>233</c:v>
                </c:pt>
                <c:pt idx="3">
                  <c:v>253</c:v>
                </c:pt>
                <c:pt idx="4">
                  <c:v>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54720"/>
        <c:axId val="166656256"/>
      </c:lineChart>
      <c:catAx>
        <c:axId val="1666547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6656256"/>
        <c:crosses val="autoZero"/>
        <c:auto val="1"/>
        <c:lblAlgn val="ctr"/>
        <c:lblOffset val="100"/>
        <c:noMultiLvlLbl val="0"/>
      </c:catAx>
      <c:valAx>
        <c:axId val="166656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6654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8</xdr:row>
      <xdr:rowOff>76200</xdr:rowOff>
    </xdr:from>
    <xdr:to>
      <xdr:col>6</xdr:col>
      <xdr:colOff>490537</xdr:colOff>
      <xdr:row>23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8"/>
  <sheetViews>
    <sheetView tabSelected="1" workbookViewId="0">
      <selection activeCell="H18" sqref="H18"/>
    </sheetView>
  </sheetViews>
  <sheetFormatPr defaultRowHeight="14.25" x14ac:dyDescent="0.15"/>
  <cols>
    <col min="7" max="7" width="10.75" customWidth="1"/>
  </cols>
  <sheetData>
    <row r="1" spans="1:6" x14ac:dyDescent="0.15">
      <c r="A1" s="1" t="s">
        <v>11</v>
      </c>
      <c r="B1" s="1"/>
      <c r="C1" s="1"/>
      <c r="D1" s="1"/>
      <c r="E1" s="1"/>
      <c r="F1" s="1"/>
    </row>
    <row r="2" spans="1:6" x14ac:dyDescent="0.15">
      <c r="A2" s="2" t="s">
        <v>9</v>
      </c>
      <c r="B2" s="2" t="s">
        <v>10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x14ac:dyDescent="0.15">
      <c r="A3" s="2" t="s">
        <v>0</v>
      </c>
      <c r="B3" s="2">
        <v>177</v>
      </c>
      <c r="C3" s="2">
        <v>181</v>
      </c>
      <c r="D3" s="2">
        <v>211</v>
      </c>
      <c r="E3" s="2">
        <v>220</v>
      </c>
      <c r="F3" s="2">
        <v>218</v>
      </c>
    </row>
    <row r="4" spans="1:6" x14ac:dyDescent="0.15">
      <c r="A4" s="2" t="s">
        <v>1</v>
      </c>
      <c r="B4" s="2">
        <v>132</v>
      </c>
      <c r="C4" s="2">
        <v>145</v>
      </c>
      <c r="D4" s="2">
        <v>138</v>
      </c>
      <c r="E4" s="2">
        <v>166</v>
      </c>
      <c r="F4" s="2">
        <v>154</v>
      </c>
    </row>
    <row r="5" spans="1:6" x14ac:dyDescent="0.15">
      <c r="A5" s="2" t="s">
        <v>2</v>
      </c>
      <c r="B5" s="2">
        <v>59</v>
      </c>
      <c r="C5" s="2">
        <v>67</v>
      </c>
      <c r="D5" s="2">
        <v>56</v>
      </c>
      <c r="E5" s="2">
        <v>88</v>
      </c>
      <c r="F5" s="2">
        <v>91</v>
      </c>
    </row>
    <row r="6" spans="1:6" x14ac:dyDescent="0.15">
      <c r="A6" s="2" t="s">
        <v>3</v>
      </c>
      <c r="B6" s="2">
        <v>215</v>
      </c>
      <c r="C6" s="2">
        <v>212</v>
      </c>
      <c r="D6" s="2">
        <v>233</v>
      </c>
      <c r="E6" s="2">
        <v>253</v>
      </c>
      <c r="F6" s="2">
        <v>265</v>
      </c>
    </row>
    <row r="7" spans="1:6" x14ac:dyDescent="0.15">
      <c r="A7" s="2" t="s">
        <v>4</v>
      </c>
      <c r="B7" s="2">
        <v>47</v>
      </c>
      <c r="C7" s="2">
        <v>41</v>
      </c>
      <c r="D7" s="2">
        <v>45</v>
      </c>
      <c r="E7" s="2">
        <v>51</v>
      </c>
      <c r="F7" s="2">
        <v>49</v>
      </c>
    </row>
    <row r="8" spans="1:6" x14ac:dyDescent="0.15">
      <c r="A8" s="2" t="s">
        <v>12</v>
      </c>
      <c r="B8" s="2">
        <f>(B3+B4+B5+B6+B7)/5</f>
        <v>126</v>
      </c>
      <c r="C8" s="2">
        <f t="shared" ref="C8:F8" si="0">(C3+C4+C5+C6+C7)/5</f>
        <v>129.19999999999999</v>
      </c>
      <c r="D8" s="2">
        <f t="shared" si="0"/>
        <v>136.6</v>
      </c>
      <c r="E8" s="2">
        <f t="shared" si="0"/>
        <v>155.6</v>
      </c>
      <c r="F8" s="2">
        <f t="shared" si="0"/>
        <v>155.4</v>
      </c>
    </row>
  </sheetData>
  <mergeCells count="1">
    <mergeCell ref="A1:F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B9" sqref="B9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2012-11-15T08:18:00Z</dcterms:modified>
</cp:coreProperties>
</file>
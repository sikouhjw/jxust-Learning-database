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D7" i="1"/>
  <c r="C4" i="1"/>
  <c r="C2" i="1"/>
  <c r="C6" i="1"/>
  <c r="C5" i="1"/>
  <c r="C3" i="1"/>
</calcChain>
</file>

<file path=xl/sharedStrings.xml><?xml version="1.0" encoding="utf-8"?>
<sst xmlns="http://schemas.openxmlformats.org/spreadsheetml/2006/main" count="16" uniqueCount="16">
  <si>
    <t>编号</t>
    <phoneticPr fontId="1" type="noConversion"/>
  </si>
  <si>
    <t>姓名</t>
    <phoneticPr fontId="1" type="noConversion"/>
  </si>
  <si>
    <t>基本工资</t>
    <phoneticPr fontId="1" type="noConversion"/>
  </si>
  <si>
    <t>水电费</t>
    <phoneticPr fontId="1" type="noConversion"/>
  </si>
  <si>
    <t>实发工资</t>
    <phoneticPr fontId="1" type="noConversion"/>
  </si>
  <si>
    <t>A01</t>
    <phoneticPr fontId="1" type="noConversion"/>
  </si>
  <si>
    <t>B11</t>
    <phoneticPr fontId="1" type="noConversion"/>
  </si>
  <si>
    <t>C12</t>
    <phoneticPr fontId="1" type="noConversion"/>
  </si>
  <si>
    <t>A04</t>
    <phoneticPr fontId="1" type="noConversion"/>
  </si>
  <si>
    <t>B04</t>
    <phoneticPr fontId="1" type="noConversion"/>
  </si>
  <si>
    <t>李一风</t>
    <phoneticPr fontId="1" type="noConversion"/>
  </si>
  <si>
    <t>冯小朋</t>
    <phoneticPr fontId="1" type="noConversion"/>
  </si>
  <si>
    <t>何琪</t>
    <phoneticPr fontId="1" type="noConversion"/>
  </si>
  <si>
    <t>张明月</t>
    <phoneticPr fontId="1" type="noConversion"/>
  </si>
  <si>
    <t>刘二</t>
    <phoneticPr fontId="1" type="noConversion"/>
  </si>
  <si>
    <t>部门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</si>
</sst>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"/>
  <sheetViews>
    <sheetView tabSelected="1" workbookViewId="0">
      <selection activeCell="E17" sqref="E17"/>
    </sheetView>
  </sheetViews>
  <sheetFormatPr defaultRowHeight="14.25" x14ac:dyDescent="0.15"/>
  <sheetData>
    <row r="1" spans="1:6" x14ac:dyDescent="0.1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</row>
    <row r="2" spans="1:6" x14ac:dyDescent="0.15">
      <c r="A2" t="s">
        <v>7</v>
      </c>
      <c r="B2" t="s">
        <v>12</v>
      </c>
      <c r="C2" t="str">
        <f>IF(ISNUMBER(FIND("A",A2,1)),"外语系",IF(ISNUMBER(FIND("B",A2,1)),"中文系",IF(ISNUMBER(FIND("C",A2,1)),"计算机系")))</f>
        <v>计算机系</v>
      </c>
      <c r="D2">
        <v>783</v>
      </c>
      <c r="E2">
        <v>44</v>
      </c>
      <c r="F2">
        <f>D2-E2</f>
        <v>739</v>
      </c>
    </row>
    <row r="3" spans="1:6" x14ac:dyDescent="0.15">
      <c r="A3" t="s">
        <v>5</v>
      </c>
      <c r="B3" t="s">
        <v>10</v>
      </c>
      <c r="C3" t="str">
        <f>IF(ISNUMBER(FIND("A",A3,1)),"外语系",IF(ISNUMBER(FIND("B",A3,1)),"中文系",IF(ISNUMBER(FIND("C",A3,1)),"计算机系")))</f>
        <v>外语系</v>
      </c>
      <c r="D3">
        <v>850.32</v>
      </c>
      <c r="E3">
        <v>60</v>
      </c>
      <c r="F3">
        <f>D3-E3</f>
        <v>790.32</v>
      </c>
    </row>
    <row r="4" spans="1:6" x14ac:dyDescent="0.15">
      <c r="A4" t="s">
        <v>6</v>
      </c>
      <c r="B4" t="s">
        <v>11</v>
      </c>
      <c r="C4" t="str">
        <f>IF(ISNUMBER(FIND("A",A4,1)),"外语系",IF(ISNUMBER(FIND("B",A4,1)),"中文系",IF(ISNUMBER(FIND("C",A4,1)),"计算机系")))</f>
        <v>中文系</v>
      </c>
      <c r="D4">
        <v>954</v>
      </c>
      <c r="E4">
        <v>77</v>
      </c>
      <c r="F4">
        <f>D4-E4</f>
        <v>877</v>
      </c>
    </row>
    <row r="5" spans="1:6" x14ac:dyDescent="0.15">
      <c r="A5" t="s">
        <v>9</v>
      </c>
      <c r="B5" t="s">
        <v>14</v>
      </c>
      <c r="C5" t="str">
        <f>IF(ISNUMBER(FIND("A",A5,1)),"外语系",IF(ISNUMBER(FIND("B",A5,1)),"中文系",IF(ISNUMBER(FIND("C",A5,1)),"计算机系")))</f>
        <v>中文系</v>
      </c>
      <c r="D5">
        <v>1000.7</v>
      </c>
      <c r="E5">
        <v>65</v>
      </c>
      <c r="F5">
        <f>D5-E5</f>
        <v>935.7</v>
      </c>
    </row>
    <row r="6" spans="1:6" s="1" customFormat="1" ht="26.1" customHeight="1" x14ac:dyDescent="0.15">
      <c r="A6" s="1" t="s">
        <v>8</v>
      </c>
      <c r="B6" s="1" t="s">
        <v>13</v>
      </c>
      <c r="C6" s="1" t="str">
        <f>IF(ISNUMBER(FIND("A",A6,1)),"外语系",IF(ISNUMBER(FIND("B",A6,1)),"中文系",IF(ISNUMBER(FIND("C",A6,1)),"计算机系")))</f>
        <v>外语系</v>
      </c>
      <c r="D6" s="1">
        <v>1025.23</v>
      </c>
      <c r="E6" s="1">
        <v>56</v>
      </c>
      <c r="F6" s="1">
        <f>D6-E6</f>
        <v>969.23</v>
      </c>
    </row>
    <row r="7" spans="1:6" x14ac:dyDescent="0.15">
      <c r="D7">
        <f>MAX(D2:D6)</f>
        <v>1025.23</v>
      </c>
      <c r="F7">
        <f>MIN(F2:F6)</f>
        <v>739</v>
      </c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2013-01-17T01:40:37Z</dcterms:modified>
</cp:coreProperties>
</file>
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" yWindow="-45" windowWidth="12510" windowHeight="3930"/>
  </bookViews>
  <sheets>
    <sheet name="产品销量统计表" sheetId="1" r:id="rId1"/>
    <sheet name="产品销售情况表" sheetId="2" r:id="rId2"/>
    <sheet name="Sheet3" sheetId="3" r:id="rId3"/>
  </sheets>
  <definedNames>
    <definedName name="_xlnm._FilterDatabase" localSheetId="1" hidden="1">产品销售情况表!$A$2:$H$38</definedName>
    <definedName name="_xlnm.Criteria" localSheetId="1">产品销售情况表!$J$1:$K$2</definedName>
  </definedNames>
  <calcPr calcId="144525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3" i="1"/>
  <c r="D12" i="1"/>
  <c r="D4" i="1"/>
  <c r="D5" i="1"/>
  <c r="D6" i="1"/>
  <c r="D7" i="1"/>
  <c r="D8" i="1"/>
  <c r="D9" i="1"/>
  <c r="D10" i="1"/>
  <c r="D11" i="1"/>
  <c r="D3" i="1"/>
  <c r="G26" i="2" l="1"/>
  <c r="G25" i="2"/>
  <c r="G32" i="2"/>
  <c r="G31" i="2"/>
  <c r="G38" i="2"/>
  <c r="G37" i="2"/>
  <c r="G8" i="2"/>
  <c r="G7" i="2"/>
  <c r="G14" i="2"/>
  <c r="G13" i="2"/>
  <c r="G20" i="2"/>
  <c r="G19" i="2"/>
  <c r="G24" i="2"/>
  <c r="G23" i="2"/>
  <c r="G30" i="2"/>
  <c r="G29" i="2"/>
  <c r="G36" i="2"/>
  <c r="G35" i="2"/>
  <c r="G6" i="2"/>
  <c r="G5" i="2"/>
  <c r="G12" i="2"/>
  <c r="G11" i="2"/>
  <c r="G18" i="2"/>
  <c r="G17" i="2"/>
  <c r="G22" i="2"/>
  <c r="G21" i="2"/>
  <c r="G28" i="2"/>
  <c r="G27" i="2"/>
  <c r="G34" i="2"/>
  <c r="G33" i="2"/>
  <c r="G4" i="2"/>
  <c r="G3" i="2"/>
  <c r="G10" i="2"/>
  <c r="G9" i="2"/>
  <c r="G16" i="2"/>
  <c r="G15" i="2"/>
  <c r="H26" i="2" l="1"/>
  <c r="H3" i="2"/>
  <c r="H27" i="2"/>
  <c r="H5" i="2"/>
  <c r="H19" i="2"/>
  <c r="H31" i="2"/>
  <c r="H9" i="2"/>
  <c r="H33" i="2"/>
  <c r="H11" i="2"/>
  <c r="H35" i="2"/>
  <c r="H23" i="2"/>
  <c r="H37" i="2"/>
  <c r="H25" i="2"/>
  <c r="H17" i="2"/>
  <c r="H29" i="2"/>
  <c r="H7" i="2"/>
  <c r="H21" i="2"/>
  <c r="H13" i="2"/>
  <c r="H15" i="2"/>
  <c r="H16" i="2"/>
  <c r="H10" i="2"/>
  <c r="H4" i="2"/>
  <c r="H34" i="2"/>
  <c r="H28" i="2"/>
  <c r="H22" i="2"/>
  <c r="H18" i="2"/>
  <c r="H12" i="2"/>
  <c r="H6" i="2"/>
  <c r="H36" i="2"/>
  <c r="H30" i="2"/>
  <c r="H24" i="2"/>
  <c r="H20" i="2"/>
  <c r="H14" i="2"/>
  <c r="H8" i="2"/>
  <c r="H38" i="2"/>
  <c r="H32" i="2"/>
</calcChain>
</file>

<file path=xl/sharedStrings.xml><?xml version="1.0" encoding="utf-8"?>
<sst xmlns="http://schemas.openxmlformats.org/spreadsheetml/2006/main" count="137" uniqueCount="44">
  <si>
    <t>所占百分比</t>
    <phoneticPr fontId="1" type="noConversion"/>
  </si>
  <si>
    <r>
      <t>某企业产品销量统计表</t>
    </r>
    <r>
      <rPr>
        <sz val="12"/>
        <rFont val="Times New Roman"/>
        <family val="1"/>
      </rPr>
      <t xml:space="preserve"> (</t>
    </r>
    <r>
      <rPr>
        <sz val="12"/>
        <rFont val="宋体"/>
        <charset val="134"/>
      </rPr>
      <t>单位</t>
    </r>
    <r>
      <rPr>
        <sz val="12"/>
        <rFont val="Times New Roman"/>
        <family val="1"/>
      </rPr>
      <t>:</t>
    </r>
    <r>
      <rPr>
        <sz val="12"/>
        <rFont val="宋体"/>
        <charset val="134"/>
      </rPr>
      <t>个</t>
    </r>
    <r>
      <rPr>
        <sz val="12"/>
        <rFont val="Times New Roman"/>
        <family val="1"/>
      </rPr>
      <t>)</t>
    </r>
    <phoneticPr fontId="1" type="noConversion"/>
  </si>
  <si>
    <t>产品型号</t>
    <phoneticPr fontId="1" type="noConversion"/>
  </si>
  <si>
    <t>TK001</t>
    <phoneticPr fontId="1" type="noConversion"/>
  </si>
  <si>
    <t>TK002</t>
  </si>
  <si>
    <t>TK003</t>
  </si>
  <si>
    <t>TK004</t>
  </si>
  <si>
    <t>TK005</t>
  </si>
  <si>
    <t>TK006</t>
  </si>
  <si>
    <t>TK007</t>
  </si>
  <si>
    <t>TK008</t>
  </si>
  <si>
    <t>TK009</t>
  </si>
  <si>
    <t>总销售额</t>
    <phoneticPr fontId="1" type="noConversion"/>
  </si>
  <si>
    <t>单价（元）</t>
    <phoneticPr fontId="1" type="noConversion"/>
  </si>
  <si>
    <t>销售数量（个）</t>
    <phoneticPr fontId="1" type="noConversion"/>
  </si>
  <si>
    <t>销售额（元）</t>
    <phoneticPr fontId="1" type="noConversion"/>
  </si>
  <si>
    <t>产品销售情况表</t>
    <phoneticPr fontId="1" type="noConversion"/>
  </si>
  <si>
    <t>分店名称</t>
    <phoneticPr fontId="1" type="noConversion"/>
  </si>
  <si>
    <t>季度</t>
    <phoneticPr fontId="1" type="noConversion"/>
  </si>
  <si>
    <t>产品型号</t>
    <phoneticPr fontId="1" type="noConversion"/>
  </si>
  <si>
    <t>产品名称</t>
    <phoneticPr fontId="1" type="noConversion"/>
  </si>
  <si>
    <t>单价（元）</t>
    <phoneticPr fontId="1" type="noConversion"/>
  </si>
  <si>
    <t>数量</t>
    <phoneticPr fontId="1" type="noConversion"/>
  </si>
  <si>
    <t>销售额（万元）</t>
    <phoneticPr fontId="1" type="noConversion"/>
  </si>
  <si>
    <t>销售排名</t>
    <phoneticPr fontId="1" type="noConversion"/>
  </si>
  <si>
    <t>第1分店</t>
    <phoneticPr fontId="1" type="noConversion"/>
  </si>
  <si>
    <t>D01</t>
    <phoneticPr fontId="1" type="noConversion"/>
  </si>
  <si>
    <t>电冰箱</t>
    <phoneticPr fontId="1" type="noConversion"/>
  </si>
  <si>
    <t>D02</t>
  </si>
  <si>
    <t>第1分店</t>
  </si>
  <si>
    <t>K01</t>
    <phoneticPr fontId="1" type="noConversion"/>
  </si>
  <si>
    <t>空调</t>
    <phoneticPr fontId="1" type="noConversion"/>
  </si>
  <si>
    <t>K02</t>
  </si>
  <si>
    <t>S01</t>
    <phoneticPr fontId="1" type="noConversion"/>
  </si>
  <si>
    <t>手机</t>
    <phoneticPr fontId="1" type="noConversion"/>
  </si>
  <si>
    <t>S02</t>
  </si>
  <si>
    <t>第2分店</t>
    <phoneticPr fontId="1" type="noConversion"/>
  </si>
  <si>
    <t>第2分店</t>
  </si>
  <si>
    <t>第3分店</t>
    <phoneticPr fontId="1" type="noConversion"/>
  </si>
  <si>
    <t>第3分店</t>
  </si>
  <si>
    <t>产品名称</t>
    <phoneticPr fontId="1" type="noConversion"/>
  </si>
  <si>
    <t>手机</t>
    <phoneticPr fontId="1" type="noConversion"/>
  </si>
  <si>
    <t>销售排名</t>
    <phoneticPr fontId="1" type="noConversion"/>
  </si>
  <si>
    <t>&lt;=15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</si>
</sst>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);[Red]\(0.00\)"/>
    <numFmt numFmtId="177" formatCode="0.00_ "/>
    <numFmt numFmtId="178" formatCode="0_);[Red]\(0\)"/>
  </numFmts>
  <fonts count="4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0" fontId="0" fillId="0" borderId="0" xfId="0" applyNumberFormat="1"/>
    <xf numFmtId="0" fontId="3" fillId="0" borderId="0" xfId="0" applyFont="1"/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产品销量统计图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产品销量统计表!$E$2</c:f>
              <c:strCache>
                <c:ptCount val="1"/>
                <c:pt idx="0">
                  <c:v>所占百分比</c:v>
                </c:pt>
              </c:strCache>
            </c:strRef>
          </c:tx>
          <c:explosion val="25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0"/>
          </c:dLbls>
          <c:cat>
            <c:strRef>
              <c:f>产品销量统计表!$A$3:$A$11</c:f>
              <c:strCache>
                <c:ptCount val="9"/>
                <c:pt idx="0">
                  <c:v>TK001</c:v>
                </c:pt>
                <c:pt idx="1">
                  <c:v>TK002</c:v>
                </c:pt>
                <c:pt idx="2">
                  <c:v>TK003</c:v>
                </c:pt>
                <c:pt idx="3">
                  <c:v>TK004</c:v>
                </c:pt>
                <c:pt idx="4">
                  <c:v>TK005</c:v>
                </c:pt>
                <c:pt idx="5">
                  <c:v>TK006</c:v>
                </c:pt>
                <c:pt idx="6">
                  <c:v>TK007</c:v>
                </c:pt>
                <c:pt idx="7">
                  <c:v>TK008</c:v>
                </c:pt>
                <c:pt idx="8">
                  <c:v>TK009</c:v>
                </c:pt>
              </c:strCache>
            </c:strRef>
          </c:cat>
          <c:val>
            <c:numRef>
              <c:f>产品销量统计表!$E$3:$E$11</c:f>
              <c:numCache>
                <c:formatCode>0.00%</c:formatCode>
                <c:ptCount val="9"/>
                <c:pt idx="0">
                  <c:v>3.9699554266853801E-2</c:v>
                </c:pt>
                <c:pt idx="1">
                  <c:v>9.0688958465073952E-2</c:v>
                </c:pt>
                <c:pt idx="2">
                  <c:v>0.19822015207366164</c:v>
                </c:pt>
                <c:pt idx="3">
                  <c:v>0.10321267177691749</c:v>
                </c:pt>
                <c:pt idx="4">
                  <c:v>9.0591277614119503E-2</c:v>
                </c:pt>
                <c:pt idx="5">
                  <c:v>0.18694572543455126</c:v>
                </c:pt>
                <c:pt idx="6">
                  <c:v>0.1020250782732082</c:v>
                </c:pt>
                <c:pt idx="7">
                  <c:v>8.8108127560909147E-2</c:v>
                </c:pt>
                <c:pt idx="8">
                  <c:v>0.10050845453470497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</c:plotArea>
    <c:legend>
      <c:legendPos val="l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4762</xdr:rowOff>
    </xdr:from>
    <xdr:to>
      <xdr:col>4</xdr:col>
      <xdr:colOff>819150</xdr:colOff>
      <xdr:row>25</xdr:row>
      <xdr:rowOff>171450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>
      <selection activeCell="K27" sqref="K27"/>
    </sheetView>
  </sheetViews>
  <sheetFormatPr defaultRowHeight="14.25" x14ac:dyDescent="0.15"/>
  <cols>
    <col min="1" max="1" width="9.375" customWidth="1"/>
    <col min="2" max="2" width="13.875" customWidth="1"/>
    <col min="3" max="3" width="10.125" customWidth="1"/>
    <col min="4" max="4" width="13.625" customWidth="1"/>
    <col min="5" max="5" width="11" customWidth="1"/>
    <col min="6" max="6" width="8.625" customWidth="1"/>
    <col min="7" max="7" width="8.5" customWidth="1"/>
    <col min="8" max="8" width="8.875" customWidth="1"/>
    <col min="9" max="9" width="9.375" customWidth="1"/>
    <col min="10" max="10" width="8.125" customWidth="1"/>
    <col min="11" max="11" width="7.75" customWidth="1"/>
    <col min="12" max="12" width="11.75" customWidth="1"/>
  </cols>
  <sheetData>
    <row r="1" spans="1:12" ht="15.75" x14ac:dyDescent="0.25">
      <c r="A1" s="9" t="s">
        <v>1</v>
      </c>
      <c r="B1" s="9"/>
      <c r="C1" s="9"/>
      <c r="D1" s="9"/>
      <c r="E1" s="9"/>
    </row>
    <row r="2" spans="1:12" ht="15.75" x14ac:dyDescent="0.25">
      <c r="A2" t="s">
        <v>2</v>
      </c>
      <c r="B2" t="s">
        <v>14</v>
      </c>
      <c r="C2" t="s">
        <v>13</v>
      </c>
      <c r="D2" t="s">
        <v>15</v>
      </c>
      <c r="E2" t="s">
        <v>0</v>
      </c>
      <c r="G2" s="1"/>
      <c r="H2" s="1"/>
      <c r="I2" s="1"/>
      <c r="J2" s="1"/>
      <c r="K2" s="1"/>
      <c r="L2" s="1"/>
    </row>
    <row r="3" spans="1:12" ht="15.75" x14ac:dyDescent="0.25">
      <c r="A3" s="1" t="s">
        <v>3</v>
      </c>
      <c r="B3" s="4">
        <v>33</v>
      </c>
      <c r="C3" s="4">
        <v>234</v>
      </c>
      <c r="D3" s="4">
        <f>B3*C3</f>
        <v>7722</v>
      </c>
      <c r="E3" s="10">
        <f>D3/$D$12</f>
        <v>3.9699554266853801E-2</v>
      </c>
      <c r="G3" s="3"/>
      <c r="H3" s="3"/>
      <c r="I3" s="3"/>
      <c r="J3" s="3"/>
      <c r="K3" s="3"/>
    </row>
    <row r="4" spans="1:12" ht="15.75" x14ac:dyDescent="0.25">
      <c r="A4" s="1" t="s">
        <v>4</v>
      </c>
      <c r="B4" s="4">
        <v>56</v>
      </c>
      <c r="C4" s="4">
        <v>315</v>
      </c>
      <c r="D4" s="4">
        <f t="shared" ref="D4:D11" si="0">B4*C4</f>
        <v>17640</v>
      </c>
      <c r="E4" s="10">
        <f t="shared" ref="E4:E11" si="1">D4/$D$12</f>
        <v>9.0688958465073952E-2</v>
      </c>
      <c r="G4" s="3"/>
      <c r="H4" s="3"/>
      <c r="I4" s="3"/>
      <c r="J4" s="3"/>
      <c r="K4" s="3"/>
      <c r="L4" s="2"/>
    </row>
    <row r="5" spans="1:12" ht="15.75" x14ac:dyDescent="0.25">
      <c r="A5" s="1" t="s">
        <v>5</v>
      </c>
      <c r="B5" s="4">
        <v>68</v>
      </c>
      <c r="C5" s="4">
        <v>567</v>
      </c>
      <c r="D5" s="4">
        <f t="shared" si="0"/>
        <v>38556</v>
      </c>
      <c r="E5" s="10">
        <f t="shared" si="1"/>
        <v>0.19822015207366164</v>
      </c>
      <c r="G5" s="3"/>
      <c r="H5" s="3"/>
      <c r="I5" s="3"/>
      <c r="J5" s="3"/>
      <c r="K5" s="3"/>
      <c r="L5" s="2"/>
    </row>
    <row r="6" spans="1:12" ht="15.75" x14ac:dyDescent="0.25">
      <c r="A6" s="1" t="s">
        <v>6</v>
      </c>
      <c r="B6" s="4">
        <v>42</v>
      </c>
      <c r="C6" s="4">
        <v>478</v>
      </c>
      <c r="D6" s="4">
        <f t="shared" si="0"/>
        <v>20076</v>
      </c>
      <c r="E6" s="10">
        <f t="shared" si="1"/>
        <v>0.10321267177691749</v>
      </c>
    </row>
    <row r="7" spans="1:12" ht="15.75" x14ac:dyDescent="0.25">
      <c r="A7" s="1" t="s">
        <v>7</v>
      </c>
      <c r="B7" s="4">
        <v>67</v>
      </c>
      <c r="C7" s="4">
        <v>263</v>
      </c>
      <c r="D7" s="4">
        <f t="shared" si="0"/>
        <v>17621</v>
      </c>
      <c r="E7" s="10">
        <f t="shared" si="1"/>
        <v>9.0591277614119503E-2</v>
      </c>
    </row>
    <row r="8" spans="1:12" ht="15.75" x14ac:dyDescent="0.25">
      <c r="A8" s="1" t="s">
        <v>8</v>
      </c>
      <c r="B8" s="4">
        <v>93</v>
      </c>
      <c r="C8" s="4">
        <v>391</v>
      </c>
      <c r="D8" s="4">
        <f t="shared" si="0"/>
        <v>36363</v>
      </c>
      <c r="E8" s="10">
        <f t="shared" si="1"/>
        <v>0.18694572543455126</v>
      </c>
    </row>
    <row r="9" spans="1:12" ht="15.75" x14ac:dyDescent="0.25">
      <c r="A9" s="1" t="s">
        <v>9</v>
      </c>
      <c r="B9" s="4">
        <v>63</v>
      </c>
      <c r="C9" s="4">
        <v>315</v>
      </c>
      <c r="D9" s="4">
        <f t="shared" si="0"/>
        <v>19845</v>
      </c>
      <c r="E9" s="10">
        <f t="shared" si="1"/>
        <v>0.1020250782732082</v>
      </c>
    </row>
    <row r="10" spans="1:12" ht="15.75" x14ac:dyDescent="0.25">
      <c r="A10" s="1" t="s">
        <v>10</v>
      </c>
      <c r="B10" s="4">
        <v>38</v>
      </c>
      <c r="C10" s="4">
        <v>451</v>
      </c>
      <c r="D10" s="4">
        <f t="shared" si="0"/>
        <v>17138</v>
      </c>
      <c r="E10" s="10">
        <f t="shared" si="1"/>
        <v>8.8108127560909147E-2</v>
      </c>
    </row>
    <row r="11" spans="1:12" ht="15.75" x14ac:dyDescent="0.25">
      <c r="A11" s="1" t="s">
        <v>11</v>
      </c>
      <c r="B11" s="4">
        <v>46</v>
      </c>
      <c r="C11" s="4">
        <v>425</v>
      </c>
      <c r="D11" s="4">
        <f t="shared" si="0"/>
        <v>19550</v>
      </c>
      <c r="E11" s="10">
        <f t="shared" si="1"/>
        <v>0.10050845453470497</v>
      </c>
    </row>
    <row r="12" spans="1:12" x14ac:dyDescent="0.15">
      <c r="A12" s="7" t="s">
        <v>12</v>
      </c>
      <c r="B12" s="7"/>
      <c r="C12" s="7"/>
      <c r="D12" s="4">
        <f>SUM(D3:D11)</f>
        <v>194511</v>
      </c>
    </row>
    <row r="13" spans="1:12" ht="15.75" x14ac:dyDescent="0.25">
      <c r="A13" s="1"/>
      <c r="B13" s="4"/>
      <c r="C13" s="4"/>
      <c r="D13" s="4"/>
    </row>
    <row r="14" spans="1:12" ht="15.75" x14ac:dyDescent="0.25">
      <c r="A14" s="1"/>
      <c r="B14" s="4"/>
      <c r="C14" s="4"/>
      <c r="D14" s="4"/>
    </row>
  </sheetData>
  <mergeCells count="2">
    <mergeCell ref="A12:C12"/>
    <mergeCell ref="A1:E1"/>
  </mergeCells>
  <phoneticPr fontId="1" type="noConversion"/>
  <conditionalFormatting sqref="G3:K5 B3:E3 B10:C11 B13:C14 B4:C8 D4:D14 E4:E11">
    <cfRule type="cellIs" dxfId="0" priority="1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38"/>
  <sheetViews>
    <sheetView workbookViewId="0">
      <selection activeCell="G43" sqref="G43"/>
    </sheetView>
  </sheetViews>
  <sheetFormatPr defaultRowHeight="14.25" x14ac:dyDescent="0.15"/>
  <cols>
    <col min="1" max="1" width="9.5" bestFit="1" customWidth="1"/>
    <col min="2" max="2" width="5.5" bestFit="1" customWidth="1"/>
    <col min="3" max="4" width="9.5" bestFit="1" customWidth="1"/>
    <col min="5" max="5" width="11.625" bestFit="1" customWidth="1"/>
    <col min="6" max="6" width="5.5" bestFit="1" customWidth="1"/>
    <col min="7" max="7" width="16.125" bestFit="1" customWidth="1"/>
    <col min="8" max="8" width="9.5" bestFit="1" customWidth="1"/>
  </cols>
  <sheetData>
    <row r="1" spans="1:11" x14ac:dyDescent="0.15">
      <c r="A1" s="8" t="s">
        <v>16</v>
      </c>
      <c r="B1" s="8"/>
      <c r="C1" s="8"/>
      <c r="D1" s="8"/>
      <c r="E1" s="8"/>
      <c r="F1" s="8"/>
      <c r="G1" s="8"/>
      <c r="H1" s="8"/>
      <c r="J1" s="11" t="s">
        <v>40</v>
      </c>
      <c r="K1" s="11" t="s">
        <v>42</v>
      </c>
    </row>
    <row r="2" spans="1:11" x14ac:dyDescent="0.15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J2" s="12" t="s">
        <v>41</v>
      </c>
      <c r="K2" s="13" t="s">
        <v>43</v>
      </c>
    </row>
    <row r="3" spans="1:11" hidden="1" x14ac:dyDescent="0.15">
      <c r="A3" s="5" t="s">
        <v>29</v>
      </c>
      <c r="B3" s="5">
        <v>1</v>
      </c>
      <c r="C3" s="5" t="s">
        <v>33</v>
      </c>
      <c r="D3" s="5" t="s">
        <v>34</v>
      </c>
      <c r="E3" s="5">
        <v>1380</v>
      </c>
      <c r="F3" s="5">
        <v>87</v>
      </c>
      <c r="G3" s="6">
        <f>E3*F3/10000</f>
        <v>12.006</v>
      </c>
      <c r="H3" s="5">
        <f>RANK(G3,$G$3:$G$38)</f>
        <v>22</v>
      </c>
    </row>
    <row r="4" spans="1:11" x14ac:dyDescent="0.15">
      <c r="A4" s="5" t="s">
        <v>29</v>
      </c>
      <c r="B4" s="5">
        <v>1</v>
      </c>
      <c r="C4" s="5" t="s">
        <v>35</v>
      </c>
      <c r="D4" s="5" t="s">
        <v>34</v>
      </c>
      <c r="E4" s="5">
        <v>3210</v>
      </c>
      <c r="F4" s="5">
        <v>56</v>
      </c>
      <c r="G4" s="6">
        <f>E4*F4/10000</f>
        <v>17.975999999999999</v>
      </c>
      <c r="H4" s="5">
        <f>RANK(G4,$G$3:$G$38)</f>
        <v>11</v>
      </c>
    </row>
    <row r="5" spans="1:11" hidden="1" x14ac:dyDescent="0.15">
      <c r="A5" s="5" t="s">
        <v>37</v>
      </c>
      <c r="B5" s="5">
        <v>1</v>
      </c>
      <c r="C5" s="5" t="s">
        <v>33</v>
      </c>
      <c r="D5" s="5" t="s">
        <v>34</v>
      </c>
      <c r="E5" s="5">
        <v>1380</v>
      </c>
      <c r="F5" s="5">
        <v>65</v>
      </c>
      <c r="G5" s="6">
        <f>E5*F5/10000</f>
        <v>8.9700000000000006</v>
      </c>
      <c r="H5" s="5">
        <f>RANK(G5,$G$3:$G$38)</f>
        <v>31</v>
      </c>
    </row>
    <row r="6" spans="1:11" x14ac:dyDescent="0.15">
      <c r="A6" s="5" t="s">
        <v>37</v>
      </c>
      <c r="B6" s="5">
        <v>1</v>
      </c>
      <c r="C6" s="5" t="s">
        <v>35</v>
      </c>
      <c r="D6" s="5" t="s">
        <v>34</v>
      </c>
      <c r="E6" s="5">
        <v>3210</v>
      </c>
      <c r="F6" s="5">
        <v>96</v>
      </c>
      <c r="G6" s="6">
        <f>E6*F6/10000</f>
        <v>30.815999999999999</v>
      </c>
      <c r="H6" s="5">
        <f>RANK(G6,$G$3:$G$38)</f>
        <v>2</v>
      </c>
    </row>
    <row r="7" spans="1:11" hidden="1" x14ac:dyDescent="0.15">
      <c r="A7" s="5" t="s">
        <v>39</v>
      </c>
      <c r="B7" s="5">
        <v>1</v>
      </c>
      <c r="C7" s="5" t="s">
        <v>33</v>
      </c>
      <c r="D7" s="5" t="s">
        <v>34</v>
      </c>
      <c r="E7" s="5">
        <v>1380</v>
      </c>
      <c r="F7" s="5">
        <v>84</v>
      </c>
      <c r="G7" s="6">
        <f>E7*F7/10000</f>
        <v>11.592000000000001</v>
      </c>
      <c r="H7" s="5">
        <f>RANK(G7,$G$3:$G$38)</f>
        <v>24</v>
      </c>
    </row>
    <row r="8" spans="1:11" x14ac:dyDescent="0.15">
      <c r="A8" s="5" t="s">
        <v>39</v>
      </c>
      <c r="B8" s="5">
        <v>1</v>
      </c>
      <c r="C8" s="5" t="s">
        <v>35</v>
      </c>
      <c r="D8" s="5" t="s">
        <v>34</v>
      </c>
      <c r="E8" s="5">
        <v>3210</v>
      </c>
      <c r="F8" s="5">
        <v>57</v>
      </c>
      <c r="G8" s="6">
        <f>E8*F8/10000</f>
        <v>18.297000000000001</v>
      </c>
      <c r="H8" s="5">
        <f>RANK(G8,$G$3:$G$38)</f>
        <v>9</v>
      </c>
    </row>
    <row r="9" spans="1:11" hidden="1" x14ac:dyDescent="0.15">
      <c r="A9" s="5" t="s">
        <v>29</v>
      </c>
      <c r="B9" s="5">
        <v>1</v>
      </c>
      <c r="C9" s="5" t="s">
        <v>30</v>
      </c>
      <c r="D9" s="5" t="s">
        <v>31</v>
      </c>
      <c r="E9" s="5">
        <v>2340</v>
      </c>
      <c r="F9" s="5">
        <v>43</v>
      </c>
      <c r="G9" s="6">
        <f>E9*F9/10000</f>
        <v>10.061999999999999</v>
      </c>
      <c r="H9" s="5">
        <f>RANK(G9,$G$3:$G$38)</f>
        <v>28</v>
      </c>
    </row>
    <row r="10" spans="1:11" hidden="1" x14ac:dyDescent="0.15">
      <c r="A10" s="5" t="s">
        <v>29</v>
      </c>
      <c r="B10" s="5">
        <v>1</v>
      </c>
      <c r="C10" s="5" t="s">
        <v>32</v>
      </c>
      <c r="D10" s="5" t="s">
        <v>31</v>
      </c>
      <c r="E10" s="5">
        <v>4460</v>
      </c>
      <c r="F10" s="5">
        <v>8</v>
      </c>
      <c r="G10" s="6">
        <f>E10*F10/10000</f>
        <v>3.5680000000000001</v>
      </c>
      <c r="H10" s="5">
        <f>RANK(G10,$G$3:$G$38)</f>
        <v>36</v>
      </c>
    </row>
    <row r="11" spans="1:11" hidden="1" x14ac:dyDescent="0.15">
      <c r="A11" s="5" t="s">
        <v>37</v>
      </c>
      <c r="B11" s="5">
        <v>1</v>
      </c>
      <c r="C11" s="5" t="s">
        <v>30</v>
      </c>
      <c r="D11" s="5" t="s">
        <v>31</v>
      </c>
      <c r="E11" s="5">
        <v>2340</v>
      </c>
      <c r="F11" s="5">
        <v>33</v>
      </c>
      <c r="G11" s="6">
        <f>E11*F11/10000</f>
        <v>7.7220000000000004</v>
      </c>
      <c r="H11" s="5">
        <f>RANK(G11,$G$3:$G$38)</f>
        <v>33</v>
      </c>
    </row>
    <row r="12" spans="1:11" hidden="1" x14ac:dyDescent="0.15">
      <c r="A12" s="5" t="s">
        <v>37</v>
      </c>
      <c r="B12" s="5">
        <v>1</v>
      </c>
      <c r="C12" s="5" t="s">
        <v>32</v>
      </c>
      <c r="D12" s="5" t="s">
        <v>31</v>
      </c>
      <c r="E12" s="5">
        <v>4460</v>
      </c>
      <c r="F12" s="5">
        <v>24</v>
      </c>
      <c r="G12" s="6">
        <f>E12*F12/10000</f>
        <v>10.704000000000001</v>
      </c>
      <c r="H12" s="5">
        <f>RANK(G12,$G$3:$G$38)</f>
        <v>26</v>
      </c>
    </row>
    <row r="13" spans="1:11" hidden="1" x14ac:dyDescent="0.15">
      <c r="A13" s="5" t="s">
        <v>39</v>
      </c>
      <c r="B13" s="5">
        <v>1</v>
      </c>
      <c r="C13" s="5" t="s">
        <v>30</v>
      </c>
      <c r="D13" s="5" t="s">
        <v>31</v>
      </c>
      <c r="E13" s="5">
        <v>2340</v>
      </c>
      <c r="F13" s="5">
        <v>39</v>
      </c>
      <c r="G13" s="6">
        <f>E13*F13/10000</f>
        <v>9.1259999999999994</v>
      </c>
      <c r="H13" s="5">
        <f>RANK(G13,$G$3:$G$38)</f>
        <v>30</v>
      </c>
    </row>
    <row r="14" spans="1:11" hidden="1" x14ac:dyDescent="0.15">
      <c r="A14" s="5" t="s">
        <v>39</v>
      </c>
      <c r="B14" s="5">
        <v>1</v>
      </c>
      <c r="C14" s="5" t="s">
        <v>32</v>
      </c>
      <c r="D14" s="5" t="s">
        <v>31</v>
      </c>
      <c r="E14" s="5">
        <v>4460</v>
      </c>
      <c r="F14" s="5">
        <v>76</v>
      </c>
      <c r="G14" s="6">
        <f>E14*F14/10000</f>
        <v>33.896000000000001</v>
      </c>
      <c r="H14" s="5">
        <f>RANK(G14,$G$3:$G$38)</f>
        <v>1</v>
      </c>
    </row>
    <row r="15" spans="1:11" hidden="1" x14ac:dyDescent="0.15">
      <c r="A15" s="5" t="s">
        <v>25</v>
      </c>
      <c r="B15" s="5">
        <v>1</v>
      </c>
      <c r="C15" s="5" t="s">
        <v>26</v>
      </c>
      <c r="D15" s="5" t="s">
        <v>27</v>
      </c>
      <c r="E15" s="5">
        <v>2750</v>
      </c>
      <c r="F15" s="5">
        <v>35</v>
      </c>
      <c r="G15" s="6">
        <f>E15*F15/10000</f>
        <v>9.625</v>
      </c>
      <c r="H15" s="5">
        <f>RANK(G15,$G$3:$G$38)</f>
        <v>29</v>
      </c>
    </row>
    <row r="16" spans="1:11" hidden="1" x14ac:dyDescent="0.15">
      <c r="A16" s="5" t="s">
        <v>25</v>
      </c>
      <c r="B16" s="5">
        <v>1</v>
      </c>
      <c r="C16" s="5" t="s">
        <v>28</v>
      </c>
      <c r="D16" s="5" t="s">
        <v>27</v>
      </c>
      <c r="E16" s="5">
        <v>3540</v>
      </c>
      <c r="F16" s="5">
        <v>12</v>
      </c>
      <c r="G16" s="6">
        <f>E16*F16/10000</f>
        <v>4.2480000000000002</v>
      </c>
      <c r="H16" s="5">
        <f>RANK(G16,$G$3:$G$38)</f>
        <v>35</v>
      </c>
    </row>
    <row r="17" spans="1:8" hidden="1" x14ac:dyDescent="0.15">
      <c r="A17" s="5" t="s">
        <v>36</v>
      </c>
      <c r="B17" s="5">
        <v>1</v>
      </c>
      <c r="C17" s="5" t="s">
        <v>26</v>
      </c>
      <c r="D17" s="5" t="s">
        <v>27</v>
      </c>
      <c r="E17" s="5">
        <v>2750</v>
      </c>
      <c r="F17" s="5">
        <v>65</v>
      </c>
      <c r="G17" s="6">
        <f>E17*F17/10000</f>
        <v>17.875</v>
      </c>
      <c r="H17" s="5">
        <f>RANK(G17,$G$3:$G$38)</f>
        <v>12</v>
      </c>
    </row>
    <row r="18" spans="1:8" hidden="1" x14ac:dyDescent="0.15">
      <c r="A18" s="5" t="s">
        <v>36</v>
      </c>
      <c r="B18" s="5">
        <v>1</v>
      </c>
      <c r="C18" s="5" t="s">
        <v>28</v>
      </c>
      <c r="D18" s="5" t="s">
        <v>27</v>
      </c>
      <c r="E18" s="5">
        <v>3540</v>
      </c>
      <c r="F18" s="5">
        <v>75</v>
      </c>
      <c r="G18" s="6">
        <f>E18*F18/10000</f>
        <v>26.55</v>
      </c>
      <c r="H18" s="5">
        <f>RANK(G18,$G$3:$G$38)</f>
        <v>4</v>
      </c>
    </row>
    <row r="19" spans="1:8" hidden="1" x14ac:dyDescent="0.15">
      <c r="A19" s="5" t="s">
        <v>38</v>
      </c>
      <c r="B19" s="5">
        <v>1</v>
      </c>
      <c r="C19" s="5" t="s">
        <v>26</v>
      </c>
      <c r="D19" s="5" t="s">
        <v>27</v>
      </c>
      <c r="E19" s="5">
        <v>2750</v>
      </c>
      <c r="F19" s="5">
        <v>66</v>
      </c>
      <c r="G19" s="6">
        <f>E19*F19/10000</f>
        <v>18.149999999999999</v>
      </c>
      <c r="H19" s="5">
        <f>RANK(G19,$G$3:$G$38)</f>
        <v>10</v>
      </c>
    </row>
    <row r="20" spans="1:8" hidden="1" x14ac:dyDescent="0.15">
      <c r="A20" s="5" t="s">
        <v>38</v>
      </c>
      <c r="B20" s="5">
        <v>1</v>
      </c>
      <c r="C20" s="5" t="s">
        <v>28</v>
      </c>
      <c r="D20" s="5" t="s">
        <v>27</v>
      </c>
      <c r="E20" s="5">
        <v>3540</v>
      </c>
      <c r="F20" s="5">
        <v>45</v>
      </c>
      <c r="G20" s="6">
        <f>E20*F20/10000</f>
        <v>15.93</v>
      </c>
      <c r="H20" s="5">
        <f>RANK(G20,$G$3:$G$38)</f>
        <v>14</v>
      </c>
    </row>
    <row r="21" spans="1:8" hidden="1" x14ac:dyDescent="0.15">
      <c r="A21" s="5" t="s">
        <v>29</v>
      </c>
      <c r="B21" s="5">
        <v>2</v>
      </c>
      <c r="C21" s="5" t="s">
        <v>33</v>
      </c>
      <c r="D21" s="5" t="s">
        <v>34</v>
      </c>
      <c r="E21" s="5">
        <v>1380</v>
      </c>
      <c r="F21" s="5">
        <v>91</v>
      </c>
      <c r="G21" s="6">
        <f>E21*F21/10000</f>
        <v>12.558</v>
      </c>
      <c r="H21" s="5">
        <f>RANK(G21,$G$3:$G$38)</f>
        <v>20</v>
      </c>
    </row>
    <row r="22" spans="1:8" hidden="1" x14ac:dyDescent="0.15">
      <c r="A22" s="5" t="s">
        <v>29</v>
      </c>
      <c r="B22" s="5">
        <v>2</v>
      </c>
      <c r="C22" s="5" t="s">
        <v>35</v>
      </c>
      <c r="D22" s="5" t="s">
        <v>34</v>
      </c>
      <c r="E22" s="5">
        <v>3210</v>
      </c>
      <c r="F22" s="5">
        <v>34</v>
      </c>
      <c r="G22" s="6">
        <f>E22*F22/10000</f>
        <v>10.914</v>
      </c>
      <c r="H22" s="5">
        <f>RANK(G22,$G$3:$G$38)</f>
        <v>25</v>
      </c>
    </row>
    <row r="23" spans="1:8" hidden="1" x14ac:dyDescent="0.15">
      <c r="A23" s="5" t="s">
        <v>37</v>
      </c>
      <c r="B23" s="5">
        <v>2</v>
      </c>
      <c r="C23" s="5" t="s">
        <v>33</v>
      </c>
      <c r="D23" s="5" t="s">
        <v>34</v>
      </c>
      <c r="E23" s="5">
        <v>1380</v>
      </c>
      <c r="F23" s="5">
        <v>73</v>
      </c>
      <c r="G23" s="6">
        <f>E23*F23/10000</f>
        <v>10.074</v>
      </c>
      <c r="H23" s="5">
        <f>RANK(G23,$G$3:$G$38)</f>
        <v>27</v>
      </c>
    </row>
    <row r="24" spans="1:8" x14ac:dyDescent="0.15">
      <c r="A24" s="5" t="s">
        <v>37</v>
      </c>
      <c r="B24" s="5">
        <v>2</v>
      </c>
      <c r="C24" s="5" t="s">
        <v>35</v>
      </c>
      <c r="D24" s="5" t="s">
        <v>34</v>
      </c>
      <c r="E24" s="5">
        <v>3210</v>
      </c>
      <c r="F24" s="5">
        <v>43</v>
      </c>
      <c r="G24" s="6">
        <f>E24*F24/10000</f>
        <v>13.803000000000001</v>
      </c>
      <c r="H24" s="5">
        <f>RANK(G24,$G$3:$G$38)</f>
        <v>15</v>
      </c>
    </row>
    <row r="25" spans="1:8" hidden="1" x14ac:dyDescent="0.15">
      <c r="A25" s="5" t="s">
        <v>39</v>
      </c>
      <c r="B25" s="5">
        <v>2</v>
      </c>
      <c r="C25" s="5" t="s">
        <v>33</v>
      </c>
      <c r="D25" s="5" t="s">
        <v>34</v>
      </c>
      <c r="E25" s="5">
        <v>1380</v>
      </c>
      <c r="F25" s="5">
        <v>35</v>
      </c>
      <c r="G25" s="6">
        <f>E25*F25/10000</f>
        <v>4.83</v>
      </c>
      <c r="H25" s="5">
        <f>RANK(G25,$G$3:$G$38)</f>
        <v>34</v>
      </c>
    </row>
    <row r="26" spans="1:8" x14ac:dyDescent="0.15">
      <c r="A26" s="5" t="s">
        <v>39</v>
      </c>
      <c r="B26" s="5">
        <v>2</v>
      </c>
      <c r="C26" s="5" t="s">
        <v>35</v>
      </c>
      <c r="D26" s="5" t="s">
        <v>34</v>
      </c>
      <c r="E26" s="5">
        <v>3210</v>
      </c>
      <c r="F26" s="5">
        <v>43</v>
      </c>
      <c r="G26" s="6">
        <f>E26*F26/10000</f>
        <v>13.803000000000001</v>
      </c>
      <c r="H26" s="5">
        <f>RANK(G26,$G$3:$G$38)</f>
        <v>15</v>
      </c>
    </row>
    <row r="27" spans="1:8" hidden="1" x14ac:dyDescent="0.15">
      <c r="A27" s="5" t="s">
        <v>29</v>
      </c>
      <c r="B27" s="5">
        <v>2</v>
      </c>
      <c r="C27" s="5" t="s">
        <v>30</v>
      </c>
      <c r="D27" s="5" t="s">
        <v>31</v>
      </c>
      <c r="E27" s="5">
        <v>2340</v>
      </c>
      <c r="F27" s="5">
        <v>79</v>
      </c>
      <c r="G27" s="6">
        <f>E27*F27/10000</f>
        <v>18.486000000000001</v>
      </c>
      <c r="H27" s="5">
        <f>RANK(G27,$G$3:$G$38)</f>
        <v>8</v>
      </c>
    </row>
    <row r="28" spans="1:8" hidden="1" x14ac:dyDescent="0.15">
      <c r="A28" s="5" t="s">
        <v>29</v>
      </c>
      <c r="B28" s="5">
        <v>2</v>
      </c>
      <c r="C28" s="5" t="s">
        <v>32</v>
      </c>
      <c r="D28" s="5" t="s">
        <v>31</v>
      </c>
      <c r="E28" s="5">
        <v>4460</v>
      </c>
      <c r="F28" s="5">
        <v>68</v>
      </c>
      <c r="G28" s="6">
        <f>E28*F28/10000</f>
        <v>30.327999999999999</v>
      </c>
      <c r="H28" s="5">
        <f>RANK(G28,$G$3:$G$38)</f>
        <v>3</v>
      </c>
    </row>
    <row r="29" spans="1:8" hidden="1" x14ac:dyDescent="0.15">
      <c r="A29" s="5" t="s">
        <v>37</v>
      </c>
      <c r="B29" s="5">
        <v>2</v>
      </c>
      <c r="C29" s="5" t="s">
        <v>30</v>
      </c>
      <c r="D29" s="5" t="s">
        <v>31</v>
      </c>
      <c r="E29" s="5">
        <v>2340</v>
      </c>
      <c r="F29" s="5">
        <v>54</v>
      </c>
      <c r="G29" s="6">
        <f>E29*F29/10000</f>
        <v>12.635999999999999</v>
      </c>
      <c r="H29" s="5">
        <f>RANK(G29,$G$3:$G$38)</f>
        <v>19</v>
      </c>
    </row>
    <row r="30" spans="1:8" hidden="1" x14ac:dyDescent="0.15">
      <c r="A30" s="5" t="s">
        <v>37</v>
      </c>
      <c r="B30" s="5">
        <v>2</v>
      </c>
      <c r="C30" s="5" t="s">
        <v>32</v>
      </c>
      <c r="D30" s="5" t="s">
        <v>31</v>
      </c>
      <c r="E30" s="5">
        <v>4460</v>
      </c>
      <c r="F30" s="5">
        <v>37</v>
      </c>
      <c r="G30" s="6">
        <f>E30*F30/10000</f>
        <v>16.501999999999999</v>
      </c>
      <c r="H30" s="5">
        <f>RANK(G30,$G$3:$G$38)</f>
        <v>13</v>
      </c>
    </row>
    <row r="31" spans="1:8" hidden="1" x14ac:dyDescent="0.15">
      <c r="A31" s="5" t="s">
        <v>39</v>
      </c>
      <c r="B31" s="5">
        <v>2</v>
      </c>
      <c r="C31" s="5" t="s">
        <v>30</v>
      </c>
      <c r="D31" s="5" t="s">
        <v>31</v>
      </c>
      <c r="E31" s="5">
        <v>2340</v>
      </c>
      <c r="F31" s="5">
        <v>51</v>
      </c>
      <c r="G31" s="6">
        <f>E31*F31/10000</f>
        <v>11.933999999999999</v>
      </c>
      <c r="H31" s="5">
        <f>RANK(G31,$G$3:$G$38)</f>
        <v>23</v>
      </c>
    </row>
    <row r="32" spans="1:8" hidden="1" x14ac:dyDescent="0.15">
      <c r="A32" s="5" t="s">
        <v>39</v>
      </c>
      <c r="B32" s="5">
        <v>2</v>
      </c>
      <c r="C32" s="5" t="s">
        <v>32</v>
      </c>
      <c r="D32" s="5" t="s">
        <v>31</v>
      </c>
      <c r="E32" s="5">
        <v>4460</v>
      </c>
      <c r="F32" s="5">
        <v>42</v>
      </c>
      <c r="G32" s="6">
        <f>E32*F32/10000</f>
        <v>18.731999999999999</v>
      </c>
      <c r="H32" s="5">
        <f>RANK(G32,$G$3:$G$38)</f>
        <v>7</v>
      </c>
    </row>
    <row r="33" spans="1:8" hidden="1" x14ac:dyDescent="0.15">
      <c r="A33" s="5" t="s">
        <v>29</v>
      </c>
      <c r="B33" s="5">
        <v>2</v>
      </c>
      <c r="C33" s="5" t="s">
        <v>26</v>
      </c>
      <c r="D33" s="5" t="s">
        <v>27</v>
      </c>
      <c r="E33" s="5">
        <v>2750</v>
      </c>
      <c r="F33" s="5">
        <v>45</v>
      </c>
      <c r="G33" s="6">
        <f>E33*F33/10000</f>
        <v>12.375</v>
      </c>
      <c r="H33" s="5">
        <f>RANK(G33,$G$3:$G$38)</f>
        <v>21</v>
      </c>
    </row>
    <row r="34" spans="1:8" hidden="1" x14ac:dyDescent="0.15">
      <c r="A34" s="5" t="s">
        <v>29</v>
      </c>
      <c r="B34" s="5">
        <v>2</v>
      </c>
      <c r="C34" s="5" t="s">
        <v>28</v>
      </c>
      <c r="D34" s="5" t="s">
        <v>27</v>
      </c>
      <c r="E34" s="5">
        <v>3540</v>
      </c>
      <c r="F34" s="5">
        <v>23</v>
      </c>
      <c r="G34" s="6">
        <f>E34*F34/10000</f>
        <v>8.1419999999999995</v>
      </c>
      <c r="H34" s="5">
        <f>RANK(G34,$G$3:$G$38)</f>
        <v>32</v>
      </c>
    </row>
    <row r="35" spans="1:8" hidden="1" x14ac:dyDescent="0.15">
      <c r="A35" s="5" t="s">
        <v>37</v>
      </c>
      <c r="B35" s="5">
        <v>2</v>
      </c>
      <c r="C35" s="5" t="s">
        <v>26</v>
      </c>
      <c r="D35" s="5" t="s">
        <v>27</v>
      </c>
      <c r="E35" s="5">
        <v>2750</v>
      </c>
      <c r="F35" s="5">
        <v>72</v>
      </c>
      <c r="G35" s="6">
        <f>E35*F35/10000</f>
        <v>19.8</v>
      </c>
      <c r="H35" s="5">
        <f>RANK(G35,$G$3:$G$38)</f>
        <v>6</v>
      </c>
    </row>
    <row r="36" spans="1:8" hidden="1" x14ac:dyDescent="0.15">
      <c r="A36" s="5" t="s">
        <v>37</v>
      </c>
      <c r="B36" s="5">
        <v>2</v>
      </c>
      <c r="C36" s="5" t="s">
        <v>28</v>
      </c>
      <c r="D36" s="5" t="s">
        <v>27</v>
      </c>
      <c r="E36" s="5">
        <v>3540</v>
      </c>
      <c r="F36" s="5">
        <v>36</v>
      </c>
      <c r="G36" s="6">
        <f>E36*F36/10000</f>
        <v>12.744</v>
      </c>
      <c r="H36" s="5">
        <f>RANK(G36,$G$3:$G$38)</f>
        <v>17</v>
      </c>
    </row>
    <row r="37" spans="1:8" hidden="1" x14ac:dyDescent="0.15">
      <c r="A37" s="5" t="s">
        <v>39</v>
      </c>
      <c r="B37" s="5">
        <v>2</v>
      </c>
      <c r="C37" s="5" t="s">
        <v>26</v>
      </c>
      <c r="D37" s="5" t="s">
        <v>27</v>
      </c>
      <c r="E37" s="5">
        <v>2750</v>
      </c>
      <c r="F37" s="5">
        <v>46</v>
      </c>
      <c r="G37" s="6">
        <f>E37*F37/10000</f>
        <v>12.65</v>
      </c>
      <c r="H37" s="5">
        <f>RANK(G37,$G$3:$G$38)</f>
        <v>18</v>
      </c>
    </row>
    <row r="38" spans="1:8" hidden="1" x14ac:dyDescent="0.15">
      <c r="A38" s="5" t="s">
        <v>39</v>
      </c>
      <c r="B38" s="5">
        <v>2</v>
      </c>
      <c r="C38" s="5" t="s">
        <v>28</v>
      </c>
      <c r="D38" s="5" t="s">
        <v>27</v>
      </c>
      <c r="E38" s="5">
        <v>3540</v>
      </c>
      <c r="F38" s="5">
        <v>64</v>
      </c>
      <c r="G38" s="6">
        <f>E38*F38/10000</f>
        <v>22.655999999999999</v>
      </c>
      <c r="H38" s="5">
        <f>RANK(G38,$G$3:$G$38)</f>
        <v>5</v>
      </c>
    </row>
  </sheetData>
  <sortState ref="A3:H38">
    <sortCondition ref="B3:B38"/>
    <sortCondition descending="1" ref="D3:D38"/>
  </sortState>
  <mergeCells count="1">
    <mergeCell ref="A1:H1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产品销量统计表</vt:lpstr>
      <vt:lpstr>产品销售情况表</vt:lpstr>
      <vt:lpstr>Sheet3</vt:lpstr>
      <vt:lpstr>产品销售情况表!Criteria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2005-08-24T03:08:06Z</dcterms:created>
  <dcterms:modified xsi:type="dcterms:W3CDTF">2013-07-31T01:21:28Z</dcterms:modified>
</cp:coreProperties>
</file>
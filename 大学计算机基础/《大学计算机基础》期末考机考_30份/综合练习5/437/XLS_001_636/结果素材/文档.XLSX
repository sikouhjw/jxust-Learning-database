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5535" windowHeight="5055"/>
  </bookViews>
  <sheets>
    <sheet name="各单位获奖情况表" sheetId="1" r:id="rId1"/>
    <sheet name="数据库技术成绩单" sheetId="2" r:id="rId2"/>
    <sheet name="Sheet3" sheetId="3" r:id="rId3"/>
  </sheets>
  <definedNames>
    <definedName name="_xlnm._FilterDatabase" localSheetId="1" hidden="1">数据库技术成绩单!$A$1:$F$20</definedName>
  </definedNames>
  <calcPr calcId="144525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  <c r="F11" i="2" l="1"/>
  <c r="F5" i="2"/>
  <c r="F15" i="2"/>
  <c r="F14" i="2"/>
  <c r="F4" i="2"/>
  <c r="F8" i="2"/>
  <c r="F12" i="2"/>
  <c r="F16" i="2"/>
  <c r="F9" i="2"/>
  <c r="F6" i="2"/>
  <c r="F18" i="2"/>
  <c r="F20" i="2"/>
  <c r="F2" i="2"/>
  <c r="F13" i="2"/>
  <c r="F10" i="2"/>
  <c r="F17" i="2"/>
  <c r="F3" i="2"/>
  <c r="F19" i="2"/>
  <c r="F7" i="2"/>
</calcChain>
</file>

<file path=xl/sharedStrings.xml><?xml version="1.0" encoding="utf-8"?>
<sst xmlns="http://schemas.openxmlformats.org/spreadsheetml/2006/main" count="75" uniqueCount="61">
  <si>
    <t>合计</t>
    <phoneticPr fontId="1" type="noConversion"/>
  </si>
  <si>
    <t>单位</t>
    <phoneticPr fontId="1" type="noConversion"/>
  </si>
  <si>
    <t>某竞赛获奖情况表</t>
    <phoneticPr fontId="1" type="noConversion"/>
  </si>
  <si>
    <t>一等奖</t>
    <phoneticPr fontId="1" type="noConversion"/>
  </si>
  <si>
    <t>二等奖</t>
    <phoneticPr fontId="1" type="noConversion"/>
  </si>
  <si>
    <t>三等奖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</si>
  <si>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</si>
  <si>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</si>
  <si>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</si>
  <si>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</si>
  <si>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</si>
  <si>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</si>
  <si>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</si>
  <si>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</si>
  <si>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</si>
  <si>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</si>
  <si>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</si>
  <si>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总成绩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</si>
  <si>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</si>
  <si>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</si>
  <si>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</si>
  <si>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</si>
  <si>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</si>
  <si>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</si>
  <si>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</si>
  <si>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</si>
  <si>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</si>
  <si>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</si>
  <si>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</si>
  <si>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</si>
  <si>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</si>
  <si>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</si>
  <si>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</si>
  <si>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</si>
  <si>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</si>
  <si>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</si>
  <si>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张在旭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</si>
  <si>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</si>
  <si>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</si>
  <si>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</si>
  <si>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</si>
  <si>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</si>
  <si>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</si>
  <si>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</si>
  <si>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</si>
  <si>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</si>
  <si>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</si>
  <si>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</si>
  <si>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</si>
  <si>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</si>
  <si>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</si>
  <si>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</si>
  <si>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钱民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</si>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</sst>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2" fillId="0" borderId="0" xfId="0" quotePrefix="1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获奖情况图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各单位获奖情况表!$B$2</c:f>
              <c:strCache>
                <c:ptCount val="1"/>
                <c:pt idx="0">
                  <c:v>一等奖</c:v>
                </c:pt>
              </c:strCache>
            </c:strRef>
          </c:tx>
          <c:invertIfNegative val="0"/>
          <c:cat>
            <c:strRef>
              <c:f>各单位获奖情况表!$A$3:$A$8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各单位获奖情况表!$B$3:$B$8</c:f>
              <c:numCache>
                <c:formatCode>General</c:formatCode>
                <c:ptCount val="6"/>
                <c:pt idx="0">
                  <c:v>14</c:v>
                </c:pt>
                <c:pt idx="1">
                  <c:v>18</c:v>
                </c:pt>
                <c:pt idx="2">
                  <c:v>22</c:v>
                </c:pt>
                <c:pt idx="3">
                  <c:v>26</c:v>
                </c:pt>
                <c:pt idx="4">
                  <c:v>24</c:v>
                </c:pt>
                <c:pt idx="5">
                  <c:v>21</c:v>
                </c:pt>
              </c:numCache>
            </c:numRef>
          </c:val>
        </c:ser>
        <c:ser>
          <c:idx val="1"/>
          <c:order val="1"/>
          <c:tx>
            <c:strRef>
              <c:f>各单位获奖情况表!$C$2</c:f>
              <c:strCache>
                <c:ptCount val="1"/>
                <c:pt idx="0">
                  <c:v>二等奖</c:v>
                </c:pt>
              </c:strCache>
            </c:strRef>
          </c:tx>
          <c:invertIfNegative val="0"/>
          <c:cat>
            <c:strRef>
              <c:f>各单位获奖情况表!$A$3:$A$8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各单位获奖情况表!$C$3:$C$8</c:f>
              <c:numCache>
                <c:formatCode>General</c:formatCode>
                <c:ptCount val="6"/>
                <c:pt idx="0">
                  <c:v>48</c:v>
                </c:pt>
                <c:pt idx="1">
                  <c:v>26</c:v>
                </c:pt>
                <c:pt idx="2">
                  <c:v>36</c:v>
                </c:pt>
                <c:pt idx="3">
                  <c:v>25</c:v>
                </c:pt>
                <c:pt idx="4">
                  <c:v>18</c:v>
                </c:pt>
                <c:pt idx="5">
                  <c:v>25</c:v>
                </c:pt>
              </c:numCache>
            </c:numRef>
          </c:val>
        </c:ser>
        <c:ser>
          <c:idx val="2"/>
          <c:order val="2"/>
          <c:tx>
            <c:strRef>
              <c:f>各单位获奖情况表!$D$2</c:f>
              <c:strCache>
                <c:ptCount val="1"/>
                <c:pt idx="0">
                  <c:v>三等奖</c:v>
                </c:pt>
              </c:strCache>
            </c:strRef>
          </c:tx>
          <c:invertIfNegative val="0"/>
          <c:cat>
            <c:strRef>
              <c:f>各单位获奖情况表!$A$3:$A$8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各单位获奖情况表!$D$3:$D$8</c:f>
              <c:numCache>
                <c:formatCode>General</c:formatCode>
                <c:ptCount val="6"/>
                <c:pt idx="0">
                  <c:v>39</c:v>
                </c:pt>
                <c:pt idx="1">
                  <c:v>24</c:v>
                </c:pt>
                <c:pt idx="2">
                  <c:v>48</c:v>
                </c:pt>
                <c:pt idx="3">
                  <c:v>26</c:v>
                </c:pt>
                <c:pt idx="4">
                  <c:v>22</c:v>
                </c:pt>
                <c:pt idx="5">
                  <c:v>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6627456"/>
        <c:axId val="46653824"/>
      </c:barChart>
      <c:catAx>
        <c:axId val="4662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46653824"/>
        <c:crosses val="autoZero"/>
        <c:auto val="1"/>
        <c:lblAlgn val="ctr"/>
        <c:lblOffset val="100"/>
        <c:noMultiLvlLbl val="0"/>
      </c:catAx>
      <c:valAx>
        <c:axId val="4665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627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14286</xdr:rowOff>
    </xdr:from>
    <xdr:to>
      <xdr:col>4</xdr:col>
      <xdr:colOff>676275</xdr:colOff>
      <xdr:row>24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I13" sqref="I13"/>
    </sheetView>
  </sheetViews>
  <sheetFormatPr defaultRowHeight="14.25" x14ac:dyDescent="0.15"/>
  <cols>
    <col min="2" max="2" width="8.625" customWidth="1"/>
    <col min="6" max="6" width="9" customWidth="1"/>
  </cols>
  <sheetData>
    <row r="1" spans="1:5" x14ac:dyDescent="0.15">
      <c r="A1" s="4" t="s">
        <v>2</v>
      </c>
      <c r="B1" s="4"/>
      <c r="C1" s="4"/>
      <c r="D1" s="4"/>
      <c r="E1" s="4"/>
    </row>
    <row r="2" spans="1:5" x14ac:dyDescent="0.15">
      <c r="A2" t="s">
        <v>1</v>
      </c>
      <c r="B2" t="s">
        <v>3</v>
      </c>
      <c r="C2" t="s">
        <v>4</v>
      </c>
      <c r="D2" t="s">
        <v>5</v>
      </c>
      <c r="E2" t="s">
        <v>0</v>
      </c>
    </row>
    <row r="3" spans="1:5" ht="15.75" x14ac:dyDescent="0.25">
      <c r="A3" s="1" t="s">
        <v>6</v>
      </c>
      <c r="B3">
        <v>14</v>
      </c>
      <c r="C3">
        <v>48</v>
      </c>
      <c r="D3">
        <v>39</v>
      </c>
      <c r="E3">
        <f>SUM(B3:D3)</f>
        <v>101</v>
      </c>
    </row>
    <row r="4" spans="1:5" ht="15.75" x14ac:dyDescent="0.25">
      <c r="A4" s="1" t="s">
        <v>7</v>
      </c>
      <c r="B4">
        <v>18</v>
      </c>
      <c r="C4">
        <v>26</v>
      </c>
      <c r="D4">
        <v>24</v>
      </c>
      <c r="E4">
        <f t="shared" ref="E4:E8" si="0">SUM(B4:D4)</f>
        <v>68</v>
      </c>
    </row>
    <row r="5" spans="1:5" ht="15.75" x14ac:dyDescent="0.25">
      <c r="A5" s="1" t="s">
        <v>8</v>
      </c>
      <c r="B5">
        <v>22</v>
      </c>
      <c r="C5">
        <v>36</v>
      </c>
      <c r="D5">
        <v>48</v>
      </c>
      <c r="E5">
        <f t="shared" si="0"/>
        <v>106</v>
      </c>
    </row>
    <row r="6" spans="1:5" ht="15.75" x14ac:dyDescent="0.25">
      <c r="A6" s="1" t="s">
        <v>9</v>
      </c>
      <c r="B6">
        <v>26</v>
      </c>
      <c r="C6">
        <v>25</v>
      </c>
      <c r="D6">
        <v>26</v>
      </c>
      <c r="E6">
        <f t="shared" si="0"/>
        <v>77</v>
      </c>
    </row>
    <row r="7" spans="1:5" ht="15.75" x14ac:dyDescent="0.25">
      <c r="A7" s="1" t="s">
        <v>10</v>
      </c>
      <c r="B7">
        <v>24</v>
      </c>
      <c r="C7">
        <v>18</v>
      </c>
      <c r="D7">
        <v>22</v>
      </c>
      <c r="E7">
        <f t="shared" si="0"/>
        <v>64</v>
      </c>
    </row>
    <row r="8" spans="1:5" ht="15.75" x14ac:dyDescent="0.25">
      <c r="A8" s="1" t="s">
        <v>11</v>
      </c>
      <c r="B8">
        <v>21</v>
      </c>
      <c r="C8">
        <v>25</v>
      </c>
      <c r="D8">
        <v>28</v>
      </c>
      <c r="E8">
        <f t="shared" si="0"/>
        <v>74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0"/>
  <sheetViews>
    <sheetView workbookViewId="0">
      <selection activeCell="D26" sqref="D26"/>
    </sheetView>
  </sheetViews>
  <sheetFormatPr defaultRowHeight="14.25" x14ac:dyDescent="0.15"/>
  <sheetData>
    <row r="1" spans="1:6" x14ac:dyDescent="0.1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ht="15.75" hidden="1" x14ac:dyDescent="0.25">
      <c r="A2" t="s">
        <v>24</v>
      </c>
      <c r="B2" s="3" t="s">
        <v>35</v>
      </c>
      <c r="C2" t="s">
        <v>36</v>
      </c>
      <c r="D2">
        <v>60</v>
      </c>
      <c r="E2">
        <v>14</v>
      </c>
      <c r="F2">
        <f>D2*80%+E2</f>
        <v>62</v>
      </c>
    </row>
    <row r="3" spans="1:6" ht="15.75" hidden="1" x14ac:dyDescent="0.25">
      <c r="A3" t="s">
        <v>24</v>
      </c>
      <c r="B3" s="2" t="s">
        <v>25</v>
      </c>
      <c r="C3" t="s">
        <v>26</v>
      </c>
      <c r="D3" s="1">
        <v>75</v>
      </c>
      <c r="E3">
        <v>19</v>
      </c>
      <c r="F3">
        <f>D3*80%+E3</f>
        <v>79</v>
      </c>
    </row>
    <row r="4" spans="1:6" ht="15.75" hidden="1" x14ac:dyDescent="0.25">
      <c r="A4" t="s">
        <v>24</v>
      </c>
      <c r="B4" s="3" t="s">
        <v>51</v>
      </c>
      <c r="C4" t="s">
        <v>52</v>
      </c>
      <c r="D4">
        <v>66</v>
      </c>
      <c r="E4">
        <v>16</v>
      </c>
      <c r="F4">
        <f>D4*80%+E4</f>
        <v>68.800000000000011</v>
      </c>
    </row>
    <row r="5" spans="1:6" ht="15.75" x14ac:dyDescent="0.25">
      <c r="A5" t="s">
        <v>24</v>
      </c>
      <c r="B5" s="3" t="s">
        <v>57</v>
      </c>
      <c r="C5" t="s">
        <v>58</v>
      </c>
      <c r="D5">
        <v>93</v>
      </c>
      <c r="E5">
        <v>19</v>
      </c>
      <c r="F5">
        <f>D5*80%+E5</f>
        <v>93.4</v>
      </c>
    </row>
    <row r="6" spans="1:6" ht="15.75" x14ac:dyDescent="0.25">
      <c r="A6" t="s">
        <v>24</v>
      </c>
      <c r="B6" s="3" t="s">
        <v>41</v>
      </c>
      <c r="C6" t="s">
        <v>42</v>
      </c>
      <c r="D6">
        <v>85</v>
      </c>
      <c r="E6">
        <v>20</v>
      </c>
      <c r="F6">
        <f>D6*80%+E6</f>
        <v>88</v>
      </c>
    </row>
    <row r="7" spans="1:6" hidden="1" x14ac:dyDescent="0.15">
      <c r="A7" t="s">
        <v>18</v>
      </c>
      <c r="B7" s="2" t="s">
        <v>19</v>
      </c>
      <c r="C7" t="s">
        <v>20</v>
      </c>
      <c r="D7">
        <v>77</v>
      </c>
      <c r="E7">
        <v>16</v>
      </c>
      <c r="F7">
        <f>D7*80%+E7</f>
        <v>77.599999999999994</v>
      </c>
    </row>
    <row r="8" spans="1:6" ht="15.75" hidden="1" x14ac:dyDescent="0.25">
      <c r="A8" t="s">
        <v>18</v>
      </c>
      <c r="B8" s="3" t="s">
        <v>49</v>
      </c>
      <c r="C8" t="s">
        <v>50</v>
      </c>
      <c r="D8">
        <v>62</v>
      </c>
      <c r="E8">
        <v>17</v>
      </c>
      <c r="F8">
        <f>D8*80%+E8</f>
        <v>66.599999999999994</v>
      </c>
    </row>
    <row r="9" spans="1:6" ht="15.75" hidden="1" x14ac:dyDescent="0.25">
      <c r="A9" t="s">
        <v>18</v>
      </c>
      <c r="B9" s="3" t="s">
        <v>43</v>
      </c>
      <c r="C9" t="s">
        <v>44</v>
      </c>
      <c r="D9">
        <v>78</v>
      </c>
      <c r="E9">
        <v>17</v>
      </c>
      <c r="F9">
        <f>D9*80%+E9</f>
        <v>79.400000000000006</v>
      </c>
    </row>
    <row r="10" spans="1:6" ht="15.75" hidden="1" x14ac:dyDescent="0.25">
      <c r="A10" t="s">
        <v>18</v>
      </c>
      <c r="B10" s="3" t="s">
        <v>30</v>
      </c>
      <c r="C10" t="s">
        <v>31</v>
      </c>
      <c r="D10">
        <v>91</v>
      </c>
      <c r="E10">
        <v>15</v>
      </c>
      <c r="F10">
        <f>D10*80%+E10</f>
        <v>87.8</v>
      </c>
    </row>
    <row r="11" spans="1:6" ht="15.75" hidden="1" x14ac:dyDescent="0.25">
      <c r="A11" t="s">
        <v>32</v>
      </c>
      <c r="B11" s="3" t="s">
        <v>59</v>
      </c>
      <c r="C11" t="s">
        <v>60</v>
      </c>
      <c r="D11">
        <v>68</v>
      </c>
      <c r="E11">
        <v>20</v>
      </c>
      <c r="F11">
        <f>D11*80%+E11</f>
        <v>74.400000000000006</v>
      </c>
    </row>
    <row r="12" spans="1:6" ht="15.75" hidden="1" x14ac:dyDescent="0.25">
      <c r="A12" t="s">
        <v>32</v>
      </c>
      <c r="B12" s="3" t="s">
        <v>47</v>
      </c>
      <c r="C12" t="s">
        <v>48</v>
      </c>
      <c r="D12">
        <v>89</v>
      </c>
      <c r="E12">
        <v>15</v>
      </c>
      <c r="F12">
        <f>D12*80%+E12</f>
        <v>86.2</v>
      </c>
    </row>
    <row r="13" spans="1:6" ht="15.75" hidden="1" x14ac:dyDescent="0.25">
      <c r="A13" t="s">
        <v>32</v>
      </c>
      <c r="B13" s="3" t="s">
        <v>33</v>
      </c>
      <c r="C13" t="s">
        <v>34</v>
      </c>
      <c r="D13">
        <v>77</v>
      </c>
      <c r="E13">
        <v>14</v>
      </c>
      <c r="F13">
        <f>D13*80%+E13</f>
        <v>75.599999999999994</v>
      </c>
    </row>
    <row r="14" spans="1:6" ht="15.75" hidden="1" x14ac:dyDescent="0.25">
      <c r="A14" t="s">
        <v>32</v>
      </c>
      <c r="B14" s="3" t="s">
        <v>53</v>
      </c>
      <c r="C14" t="s">
        <v>54</v>
      </c>
      <c r="D14">
        <v>78</v>
      </c>
      <c r="E14">
        <v>15</v>
      </c>
      <c r="F14">
        <f>D14*80%+E14</f>
        <v>77.400000000000006</v>
      </c>
    </row>
    <row r="15" spans="1:6" ht="15.75" x14ac:dyDescent="0.25">
      <c r="A15" t="s">
        <v>27</v>
      </c>
      <c r="B15" s="3" t="s">
        <v>55</v>
      </c>
      <c r="C15" t="s">
        <v>56</v>
      </c>
      <c r="D15">
        <v>80</v>
      </c>
      <c r="E15">
        <v>18</v>
      </c>
      <c r="F15">
        <f>D15*80%+E15</f>
        <v>82</v>
      </c>
    </row>
    <row r="16" spans="1:6" hidden="1" x14ac:dyDescent="0.15">
      <c r="A16" t="s">
        <v>27</v>
      </c>
      <c r="B16" s="2" t="s">
        <v>45</v>
      </c>
      <c r="C16" t="s">
        <v>46</v>
      </c>
      <c r="D16">
        <v>69</v>
      </c>
      <c r="E16">
        <v>12</v>
      </c>
      <c r="F16">
        <f>D16*80%+E16</f>
        <v>67.2</v>
      </c>
    </row>
    <row r="17" spans="1:6" hidden="1" x14ac:dyDescent="0.15">
      <c r="A17" t="s">
        <v>27</v>
      </c>
      <c r="B17" s="2" t="s">
        <v>28</v>
      </c>
      <c r="C17" t="s">
        <v>29</v>
      </c>
      <c r="D17">
        <v>86</v>
      </c>
      <c r="E17">
        <v>17</v>
      </c>
      <c r="F17">
        <f>D17*80%+E17</f>
        <v>85.8</v>
      </c>
    </row>
    <row r="18" spans="1:6" ht="15.75" x14ac:dyDescent="0.25">
      <c r="A18" t="s">
        <v>21</v>
      </c>
      <c r="B18" s="3" t="s">
        <v>39</v>
      </c>
      <c r="C18" t="s">
        <v>40</v>
      </c>
      <c r="D18">
        <v>90</v>
      </c>
      <c r="E18">
        <v>19</v>
      </c>
      <c r="F18">
        <f>D18*80%+E18</f>
        <v>91</v>
      </c>
    </row>
    <row r="19" spans="1:6" hidden="1" x14ac:dyDescent="0.15">
      <c r="A19" t="s">
        <v>21</v>
      </c>
      <c r="B19" s="2" t="s">
        <v>22</v>
      </c>
      <c r="C19" t="s">
        <v>23</v>
      </c>
      <c r="D19">
        <v>87</v>
      </c>
      <c r="E19">
        <v>17</v>
      </c>
      <c r="F19">
        <f>D19*80%+E19</f>
        <v>86.600000000000009</v>
      </c>
    </row>
    <row r="20" spans="1:6" ht="15.75" hidden="1" x14ac:dyDescent="0.25">
      <c r="A20" t="s">
        <v>21</v>
      </c>
      <c r="B20" s="3" t="s">
        <v>37</v>
      </c>
      <c r="C20" t="s">
        <v>38</v>
      </c>
      <c r="D20">
        <v>73</v>
      </c>
      <c r="E20">
        <v>18</v>
      </c>
      <c r="F20">
        <f>D20*80%+E20</f>
        <v>76.400000000000006</v>
      </c>
    </row>
  </sheetData>
  <autoFilter ref="A1:F20">
    <filterColumn colId="3">
      <customFilters>
        <customFilter operator="greaterThanOrEqual" val="80"/>
      </customFilters>
    </filterColumn>
    <filterColumn colId="4">
      <customFilters>
        <customFilter operator="greaterThan" val="17"/>
      </customFilters>
    </filterColumn>
  </autoFilter>
  <sortState ref="A2:F20">
    <sortCondition descending="1" ref="A2:A20"/>
    <sortCondition ref="B2:B20"/>
  </sortState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各单位获奖情况表</vt:lpstr>
      <vt:lpstr>数据库技术成绩单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2001-12-20T12:17:36Z</dcterms:created>
  <dcterms:modified xsi:type="dcterms:W3CDTF">2013-07-16T07:34:23Z</dcterms:modified>
</cp:coreProperties>
</file>
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新生年龄分布情况表" sheetId="1" r:id="rId1"/>
    <sheet name="“计算机动画技术”成绩单" sheetId="2" r:id="rId2"/>
    <sheet name="Sheet3" sheetId="3" r:id="rId3"/>
  </sheets>
  <definedNames>
    <definedName name="_xlnm._FilterDatabase" localSheetId="1" hidden="1">“计算机动画技术”成绩单!$A$1:$F$20</definedName>
  </definedNames>
  <calcPr calcId="144525"/>
</workbook>
</file>

<file path=xl/calcChain.xml><?xml version="1.0" encoding="utf-8"?>
<calcChain xmlns="http://schemas.openxmlformats.org/spreadsheetml/2006/main">
  <c r="C4" i="1" l="1"/>
  <c r="C5" i="1"/>
  <c r="C3" i="1"/>
  <c r="B6" i="1"/>
  <c r="F20" i="2" l="1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D2" i="2"/>
  <c r="F2" i="2" s="1"/>
</calcChain>
</file>

<file path=xl/sharedStrings.xml><?xml version="1.0" encoding="utf-8"?>
<sst xmlns="http://schemas.openxmlformats.org/spreadsheetml/2006/main" count="71" uniqueCount="57">
  <si>
    <t>新生年龄分布情况表</t>
    <phoneticPr fontId="1" type="noConversion"/>
  </si>
  <si>
    <t>年龄</t>
    <phoneticPr fontId="1" type="noConversion"/>
  </si>
  <si>
    <t>人数</t>
    <phoneticPr fontId="1" type="noConversion"/>
  </si>
  <si>
    <t>所占百分比</t>
    <phoneticPr fontId="1" type="noConversion"/>
  </si>
  <si>
    <r>
      <t>18</t>
    </r>
    <r>
      <rPr>
        <sz val="12"/>
        <rFont val="宋体"/>
        <family val="3"/>
        <charset val="134"/>
      </rPr>
      <t>至</t>
    </r>
    <r>
      <rPr>
        <sz val="12"/>
        <rFont val="Times New Roman"/>
        <family val="1"/>
      </rPr>
      <t>22</t>
    </r>
    <phoneticPr fontId="1" type="noConversion"/>
  </si>
  <si>
    <r>
      <t>18</t>
    </r>
    <r>
      <rPr>
        <sz val="12"/>
        <rFont val="宋体"/>
        <family val="3"/>
        <charset val="134"/>
      </rPr>
      <t>以下</t>
    </r>
    <phoneticPr fontId="1" type="noConversion"/>
  </si>
  <si>
    <r>
      <t>22</t>
    </r>
    <r>
      <rPr>
        <sz val="12"/>
        <rFont val="宋体"/>
        <family val="3"/>
        <charset val="134"/>
      </rPr>
      <t>以上</t>
    </r>
    <phoneticPr fontId="1" type="noConversion"/>
  </si>
  <si>
    <t>总计</t>
    <phoneticPr fontId="1" type="noConversion"/>
  </si>
  <si>
    <t>系别</t>
    <phoneticPr fontId="1" type="noConversion"/>
  </si>
  <si>
    <t>学号</t>
    <phoneticPr fontId="1" type="noConversion"/>
  </si>
  <si>
    <t>姓名</t>
    <phoneticPr fontId="1" type="noConversion"/>
  </si>
  <si>
    <t>考试成绩</t>
    <phoneticPr fontId="1" type="noConversion"/>
  </si>
  <si>
    <t>实验成绩</t>
    <phoneticPr fontId="1" type="noConversion"/>
  </si>
  <si>
    <t>总成绩</t>
    <phoneticPr fontId="1" type="noConversion"/>
  </si>
  <si>
    <t>信息</t>
    <phoneticPr fontId="1" type="noConversion"/>
  </si>
  <si>
    <t>991021</t>
    <phoneticPr fontId="1" type="noConversion"/>
  </si>
  <si>
    <t>李新</t>
    <phoneticPr fontId="1" type="noConversion"/>
  </si>
  <si>
    <t>计算机</t>
    <phoneticPr fontId="1" type="noConversion"/>
  </si>
  <si>
    <t>992032</t>
    <phoneticPr fontId="1" type="noConversion"/>
  </si>
  <si>
    <t>王文辉</t>
    <phoneticPr fontId="1" type="noConversion"/>
  </si>
  <si>
    <t>自动控制</t>
    <phoneticPr fontId="1" type="noConversion"/>
  </si>
  <si>
    <t>993023</t>
    <phoneticPr fontId="1" type="noConversion"/>
  </si>
  <si>
    <t>张磊</t>
    <phoneticPr fontId="1" type="noConversion"/>
  </si>
  <si>
    <t>经济</t>
    <phoneticPr fontId="1" type="noConversion"/>
  </si>
  <si>
    <t>995034</t>
    <phoneticPr fontId="1" type="noConversion"/>
  </si>
  <si>
    <t>郝心怡</t>
    <phoneticPr fontId="1" type="noConversion"/>
  </si>
  <si>
    <t>991076</t>
    <phoneticPr fontId="1" type="noConversion"/>
  </si>
  <si>
    <t>王力</t>
    <phoneticPr fontId="1" type="noConversion"/>
  </si>
  <si>
    <t>数学</t>
    <phoneticPr fontId="1" type="noConversion"/>
  </si>
  <si>
    <t>994056</t>
    <phoneticPr fontId="1" type="noConversion"/>
  </si>
  <si>
    <t>孙英</t>
    <phoneticPr fontId="1" type="noConversion"/>
  </si>
  <si>
    <t>993021</t>
    <phoneticPr fontId="1" type="noConversion"/>
  </si>
  <si>
    <t>张在旭</t>
    <phoneticPr fontId="1" type="noConversion"/>
  </si>
  <si>
    <t>992089</t>
    <phoneticPr fontId="1" type="noConversion"/>
  </si>
  <si>
    <t>金翔</t>
    <phoneticPr fontId="1" type="noConversion"/>
  </si>
  <si>
    <t>992005</t>
    <phoneticPr fontId="1" type="noConversion"/>
  </si>
  <si>
    <t>扬海东</t>
    <phoneticPr fontId="1" type="noConversion"/>
  </si>
  <si>
    <t>993082</t>
    <phoneticPr fontId="1" type="noConversion"/>
  </si>
  <si>
    <t>黄立</t>
    <phoneticPr fontId="1" type="noConversion"/>
  </si>
  <si>
    <t>991062</t>
    <phoneticPr fontId="1" type="noConversion"/>
  </si>
  <si>
    <t>王春晓</t>
    <phoneticPr fontId="1" type="noConversion"/>
  </si>
  <si>
    <t>995022</t>
    <phoneticPr fontId="1" type="noConversion"/>
  </si>
  <si>
    <t>陈松</t>
    <phoneticPr fontId="1" type="noConversion"/>
  </si>
  <si>
    <t>994034</t>
    <phoneticPr fontId="1" type="noConversion"/>
  </si>
  <si>
    <t>姚林</t>
    <phoneticPr fontId="1" type="noConversion"/>
  </si>
  <si>
    <t>991025</t>
    <phoneticPr fontId="1" type="noConversion"/>
  </si>
  <si>
    <t>张雨涵</t>
    <phoneticPr fontId="1" type="noConversion"/>
  </si>
  <si>
    <t>993026</t>
    <phoneticPr fontId="1" type="noConversion"/>
  </si>
  <si>
    <t>钱民</t>
    <phoneticPr fontId="1" type="noConversion"/>
  </si>
  <si>
    <t>994086</t>
    <phoneticPr fontId="1" type="noConversion"/>
  </si>
  <si>
    <t>高晓东</t>
    <phoneticPr fontId="1" type="noConversion"/>
  </si>
  <si>
    <t>995014</t>
    <phoneticPr fontId="1" type="noConversion"/>
  </si>
  <si>
    <t>张平</t>
    <phoneticPr fontId="1" type="noConversion"/>
  </si>
  <si>
    <t>993053</t>
    <phoneticPr fontId="1" type="noConversion"/>
  </si>
  <si>
    <t>李英</t>
    <phoneticPr fontId="1" type="noConversion"/>
  </si>
  <si>
    <t>994027</t>
    <phoneticPr fontId="1" type="noConversion"/>
  </si>
  <si>
    <t>黄红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</si>
</sst>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quotePrefix="1"/>
    <xf numFmtId="0" fontId="2" fillId="0" borderId="0" xfId="0" quotePrefix="1" applyFont="1"/>
    <xf numFmtId="0" fontId="0" fillId="0" borderId="0" xfId="0" applyAlignment="1">
      <alignment horizontal="center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F18" sqref="F18"/>
    </sheetView>
  </sheetViews>
  <sheetFormatPr defaultRowHeight="14.25" x14ac:dyDescent="0.15"/>
  <cols>
    <col min="1" max="1" width="11" customWidth="1"/>
    <col min="3" max="3" width="10.875" customWidth="1"/>
  </cols>
  <sheetData>
    <row r="1" spans="1:3" x14ac:dyDescent="0.15">
      <c r="A1" s="5" t="s">
        <v>0</v>
      </c>
      <c r="B1" s="5"/>
      <c r="C1" s="5"/>
    </row>
    <row r="2" spans="1:3" x14ac:dyDescent="0.15">
      <c r="A2" t="s">
        <v>1</v>
      </c>
      <c r="B2" t="s">
        <v>2</v>
      </c>
      <c r="C2" t="s">
        <v>3</v>
      </c>
    </row>
    <row r="3" spans="1:3" ht="15.75" x14ac:dyDescent="0.25">
      <c r="A3" s="1" t="s">
        <v>5</v>
      </c>
      <c r="B3">
        <v>89</v>
      </c>
      <c r="C3" s="6">
        <f>B3/$B$6</f>
        <v>4.1725269573370839E-2</v>
      </c>
    </row>
    <row r="4" spans="1:3" ht="15.75" x14ac:dyDescent="0.25">
      <c r="A4" s="1" t="s">
        <v>4</v>
      </c>
      <c r="B4">
        <v>1968</v>
      </c>
      <c r="C4" s="6">
        <f t="shared" ref="C4:C5" si="0">B4/$B$6</f>
        <v>0.92264416315049225</v>
      </c>
    </row>
    <row r="5" spans="1:3" ht="15.75" x14ac:dyDescent="0.25">
      <c r="A5" s="1" t="s">
        <v>6</v>
      </c>
      <c r="B5">
        <v>76</v>
      </c>
      <c r="C5" s="6">
        <f t="shared" si="0"/>
        <v>3.5630567276136893E-2</v>
      </c>
    </row>
    <row r="6" spans="1:3" x14ac:dyDescent="0.15">
      <c r="A6" s="2" t="s">
        <v>7</v>
      </c>
      <c r="B6">
        <f>SUM(B3:B5)</f>
        <v>2133</v>
      </c>
    </row>
  </sheetData>
  <mergeCells count="1">
    <mergeCell ref="A1:C1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0"/>
  <sheetViews>
    <sheetView workbookViewId="0">
      <selection activeCell="D29" sqref="D29"/>
    </sheetView>
  </sheetViews>
  <sheetFormatPr defaultRowHeight="14.25" x14ac:dyDescent="0.15"/>
  <sheetData>
    <row r="1" spans="1:6" x14ac:dyDescent="0.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15">
      <c r="A2" t="s">
        <v>14</v>
      </c>
      <c r="B2" s="3" t="s">
        <v>15</v>
      </c>
      <c r="C2" t="s">
        <v>16</v>
      </c>
      <c r="D2">
        <f>74</f>
        <v>74</v>
      </c>
      <c r="E2">
        <v>16</v>
      </c>
      <c r="F2">
        <f>D2+E2</f>
        <v>90</v>
      </c>
    </row>
    <row r="3" spans="1:6" hidden="1" x14ac:dyDescent="0.15">
      <c r="A3" t="s">
        <v>17</v>
      </c>
      <c r="B3" s="3" t="s">
        <v>18</v>
      </c>
      <c r="C3" t="s">
        <v>19</v>
      </c>
      <c r="D3">
        <v>87</v>
      </c>
      <c r="E3">
        <v>17</v>
      </c>
      <c r="F3">
        <f>D3+E3</f>
        <v>104</v>
      </c>
    </row>
    <row r="4" spans="1:6" ht="15.75" x14ac:dyDescent="0.25">
      <c r="A4" t="s">
        <v>20</v>
      </c>
      <c r="B4" s="3" t="s">
        <v>21</v>
      </c>
      <c r="C4" t="s">
        <v>22</v>
      </c>
      <c r="D4" s="1">
        <v>65</v>
      </c>
      <c r="E4">
        <v>19</v>
      </c>
      <c r="F4">
        <f>D4+E4</f>
        <v>84</v>
      </c>
    </row>
    <row r="5" spans="1:6" hidden="1" x14ac:dyDescent="0.15">
      <c r="A5" t="s">
        <v>23</v>
      </c>
      <c r="B5" s="3" t="s">
        <v>24</v>
      </c>
      <c r="C5" t="s">
        <v>25</v>
      </c>
      <c r="D5">
        <v>86</v>
      </c>
      <c r="E5">
        <v>17</v>
      </c>
      <c r="F5">
        <f t="shared" ref="F5:F20" si="0">D5+E5</f>
        <v>103</v>
      </c>
    </row>
    <row r="6" spans="1:6" ht="15.75" x14ac:dyDescent="0.25">
      <c r="A6" t="s">
        <v>14</v>
      </c>
      <c r="B6" s="4" t="s">
        <v>26</v>
      </c>
      <c r="C6" t="s">
        <v>27</v>
      </c>
      <c r="D6">
        <v>91</v>
      </c>
      <c r="E6">
        <v>15</v>
      </c>
      <c r="F6">
        <f t="shared" si="0"/>
        <v>106</v>
      </c>
    </row>
    <row r="7" spans="1:6" ht="15.75" hidden="1" x14ac:dyDescent="0.25">
      <c r="A7" t="s">
        <v>28</v>
      </c>
      <c r="B7" s="4" t="s">
        <v>29</v>
      </c>
      <c r="C7" t="s">
        <v>30</v>
      </c>
      <c r="D7">
        <v>77</v>
      </c>
      <c r="E7">
        <v>14</v>
      </c>
      <c r="F7">
        <f t="shared" si="0"/>
        <v>91</v>
      </c>
    </row>
    <row r="8" spans="1:6" ht="15.75" x14ac:dyDescent="0.25">
      <c r="A8" t="s">
        <v>20</v>
      </c>
      <c r="B8" s="4" t="s">
        <v>31</v>
      </c>
      <c r="C8" t="s">
        <v>32</v>
      </c>
      <c r="D8">
        <v>60</v>
      </c>
      <c r="E8">
        <v>14</v>
      </c>
      <c r="F8">
        <f t="shared" si="0"/>
        <v>74</v>
      </c>
    </row>
    <row r="9" spans="1:6" ht="15.75" hidden="1" x14ac:dyDescent="0.25">
      <c r="A9" t="s">
        <v>17</v>
      </c>
      <c r="B9" s="4" t="s">
        <v>33</v>
      </c>
      <c r="C9" t="s">
        <v>34</v>
      </c>
      <c r="D9">
        <v>73</v>
      </c>
      <c r="E9">
        <v>18</v>
      </c>
      <c r="F9">
        <f t="shared" si="0"/>
        <v>91</v>
      </c>
    </row>
    <row r="10" spans="1:6" ht="15.75" hidden="1" x14ac:dyDescent="0.25">
      <c r="A10" t="s">
        <v>17</v>
      </c>
      <c r="B10" s="4" t="s">
        <v>35</v>
      </c>
      <c r="C10" t="s">
        <v>36</v>
      </c>
      <c r="D10">
        <v>90</v>
      </c>
      <c r="E10">
        <v>19</v>
      </c>
      <c r="F10">
        <f t="shared" si="0"/>
        <v>109</v>
      </c>
    </row>
    <row r="11" spans="1:6" ht="15.75" x14ac:dyDescent="0.25">
      <c r="A11" t="s">
        <v>20</v>
      </c>
      <c r="B11" s="4" t="s">
        <v>37</v>
      </c>
      <c r="C11" t="s">
        <v>38</v>
      </c>
      <c r="D11">
        <v>85</v>
      </c>
      <c r="E11">
        <v>20</v>
      </c>
      <c r="F11">
        <f t="shared" si="0"/>
        <v>105</v>
      </c>
    </row>
    <row r="12" spans="1:6" ht="15.75" x14ac:dyDescent="0.25">
      <c r="A12" t="s">
        <v>14</v>
      </c>
      <c r="B12" s="4" t="s">
        <v>39</v>
      </c>
      <c r="C12" t="s">
        <v>40</v>
      </c>
      <c r="D12">
        <v>78</v>
      </c>
      <c r="E12">
        <v>17</v>
      </c>
      <c r="F12">
        <f t="shared" si="0"/>
        <v>95</v>
      </c>
    </row>
    <row r="13" spans="1:6" hidden="1" x14ac:dyDescent="0.15">
      <c r="A13" t="s">
        <v>23</v>
      </c>
      <c r="B13" s="3" t="s">
        <v>41</v>
      </c>
      <c r="C13" t="s">
        <v>42</v>
      </c>
      <c r="D13">
        <v>69</v>
      </c>
      <c r="E13">
        <v>12</v>
      </c>
      <c r="F13">
        <f t="shared" si="0"/>
        <v>81</v>
      </c>
    </row>
    <row r="14" spans="1:6" ht="15.75" hidden="1" x14ac:dyDescent="0.25">
      <c r="A14" t="s">
        <v>28</v>
      </c>
      <c r="B14" s="4" t="s">
        <v>43</v>
      </c>
      <c r="C14" t="s">
        <v>44</v>
      </c>
      <c r="D14">
        <v>89</v>
      </c>
      <c r="E14">
        <v>15</v>
      </c>
      <c r="F14">
        <f t="shared" si="0"/>
        <v>104</v>
      </c>
    </row>
    <row r="15" spans="1:6" ht="15.75" x14ac:dyDescent="0.25">
      <c r="A15" t="s">
        <v>14</v>
      </c>
      <c r="B15" s="4" t="s">
        <v>45</v>
      </c>
      <c r="C15" t="s">
        <v>46</v>
      </c>
      <c r="D15">
        <v>62</v>
      </c>
      <c r="E15">
        <v>17</v>
      </c>
      <c r="F15">
        <f t="shared" si="0"/>
        <v>79</v>
      </c>
    </row>
    <row r="16" spans="1:6" ht="15.75" x14ac:dyDescent="0.25">
      <c r="A16" t="s">
        <v>20</v>
      </c>
      <c r="B16" s="4" t="s">
        <v>47</v>
      </c>
      <c r="C16" t="s">
        <v>48</v>
      </c>
      <c r="D16">
        <v>66</v>
      </c>
      <c r="E16">
        <v>16</v>
      </c>
      <c r="F16">
        <f>D16+E16</f>
        <v>82</v>
      </c>
    </row>
    <row r="17" spans="1:6" ht="15.75" hidden="1" x14ac:dyDescent="0.25">
      <c r="A17" t="s">
        <v>28</v>
      </c>
      <c r="B17" s="4" t="s">
        <v>49</v>
      </c>
      <c r="C17" t="s">
        <v>50</v>
      </c>
      <c r="D17">
        <v>78</v>
      </c>
      <c r="E17">
        <v>15</v>
      </c>
      <c r="F17">
        <f t="shared" si="0"/>
        <v>93</v>
      </c>
    </row>
    <row r="18" spans="1:6" ht="15.75" hidden="1" x14ac:dyDescent="0.25">
      <c r="A18" t="s">
        <v>23</v>
      </c>
      <c r="B18" s="4" t="s">
        <v>51</v>
      </c>
      <c r="C18" t="s">
        <v>52</v>
      </c>
      <c r="D18">
        <v>80</v>
      </c>
      <c r="E18">
        <v>18</v>
      </c>
      <c r="F18">
        <f t="shared" si="0"/>
        <v>98</v>
      </c>
    </row>
    <row r="19" spans="1:6" ht="15.75" x14ac:dyDescent="0.25">
      <c r="A19" t="s">
        <v>20</v>
      </c>
      <c r="B19" s="4" t="s">
        <v>53</v>
      </c>
      <c r="C19" t="s">
        <v>54</v>
      </c>
      <c r="D19">
        <v>93</v>
      </c>
      <c r="E19">
        <v>19</v>
      </c>
      <c r="F19">
        <f t="shared" si="0"/>
        <v>112</v>
      </c>
    </row>
    <row r="20" spans="1:6" ht="15.75" hidden="1" x14ac:dyDescent="0.25">
      <c r="A20" t="s">
        <v>28</v>
      </c>
      <c r="B20" s="4" t="s">
        <v>55</v>
      </c>
      <c r="C20" t="s">
        <v>56</v>
      </c>
      <c r="D20">
        <v>68</v>
      </c>
      <c r="E20">
        <v>20</v>
      </c>
      <c r="F20">
        <f t="shared" si="0"/>
        <v>88</v>
      </c>
    </row>
  </sheetData>
  <autoFilter ref="A1:F20">
    <filterColumn colId="0">
      <filters>
        <filter val="信息"/>
        <filter val="自动控制"/>
      </filters>
    </filterColumn>
  </autoFilter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新生年龄分布情况表</vt:lpstr>
      <vt:lpstr>“计算机动画技术”成绩单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2001-12-23T13:13:20Z</dcterms:created>
  <dcterms:modified xsi:type="dcterms:W3CDTF">2013-08-01T03:17:41Z</dcterms:modified>
</cp:coreProperties>
</file>